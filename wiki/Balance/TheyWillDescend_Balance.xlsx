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hod" sheetId="1" state="visible" r:id="rId1"/>
    <sheet name="01_Buildings" sheetId="2" state="visible" r:id="rId2"/>
    <sheet name="02_Phases" sheetId="3" state="visible" r:id="rId3"/>
    <sheet name="03_TimeCost" sheetId="4" state="visible" r:id="rId4"/>
    <sheet name="03b_Modifiers" sheetId="5" state="visible" r:id="rId5"/>
    <sheet name="04_Phase_Lab" sheetId="6" state="visible" r:id="rId6"/>
    <sheet name="05_Carryover" sheetId="7" state="visible" r:id="rId7"/>
    <sheet name="06_Final_Landing" sheetId="8" state="visible" r:id="rId8"/>
    <sheet name="07_Villagers" sheetId="9" state="visible" r:id="rId9"/>
    <sheet name="08_Pair_Curve" sheetId="10" state="visible" r:id="rId10"/>
    <sheet name="09_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  <sz val="11"/>
    </font>
    <font>
      <b val="1"/>
      <sz val="12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4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Doomsday timer over pair</a:t>
            </a:r>
          </a:p>
        </rich>
      </tx>
    </title>
    <plotArea>
      <lineChart>
        <grouping val="standard"/>
        <ser>
          <idx val="0"/>
          <order val="0"/>
          <tx>
            <strRef>
              <f>'08_Pair_Curve'!B7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'08_Pair_Curve'!$A$8:$A$15</f>
            </numRef>
          </cat>
          <val>
            <numRef>
              <f>'08_Pair_Curve'!$B$8:$B$15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They Will Descend — Balance Workbook</t>
        </is>
      </c>
    </row>
    <row r="2">
      <c r="A2" s="2" t="inlineStr"/>
    </row>
    <row r="3">
      <c r="A3" s="3" t="inlineStr">
        <is>
          <t>Кривая сложности (целевой feel)</t>
        </is>
      </c>
    </row>
    <row r="4">
      <c r="A4" s="2" t="inlineStr">
        <is>
          <t>0 легко → 1 средне → 2 сложнее → 3 сложно → 4 на пределе → 5 легко/развитие → 6 сложно → 7 очень сложно.</t>
        </is>
      </c>
    </row>
    <row r="5">
      <c r="A5" s="2" t="inlineStr">
        <is>
          <t>Фаза 5 — ПЕРЕДЫШКА: дать освоить Blood/Altar и накопить перед финальной дугой.</t>
        </is>
      </c>
    </row>
    <row r="6">
      <c r="A6" s="2" t="inlineStr"/>
    </row>
    <row r="7">
      <c r="A7" s="3" t="inlineStr">
        <is>
          <t>Рычаги сложности (в порядке «трогай сначала»)</t>
        </is>
      </c>
    </row>
    <row r="8">
      <c r="A8" s="2" t="inlineStr">
        <is>
          <t>A) Offer count / Duration / secondsReward</t>
        </is>
      </c>
    </row>
    <row r="9">
      <c r="A9" s="2" t="inlineStr">
        <is>
          <t>B) Workers / hire cost / перестановки (дефицит людей)</t>
        </is>
      </c>
    </row>
    <row r="10">
      <c r="A10" s="2" t="inlineStr">
        <is>
          <t>C) Phase production modifiers (−% скорости) — лист 03b_Modifiers (ещё не в коде)</t>
        </is>
      </c>
    </row>
    <row r="11">
      <c r="A11" s="2" t="inlineStr">
        <is>
          <t>D) Early unlock зданий «не для пирамиды» — стратегия стока</t>
        </is>
      </c>
    </row>
    <row r="12">
      <c r="A12" s="2" t="inlineStr"/>
    </row>
    <row r="13">
      <c r="A13" s="3" t="inlineStr">
        <is>
          <t>Метод: этап за этапом (не все 8 сразу)</t>
        </is>
      </c>
    </row>
    <row r="14">
      <c r="A14" s="2" t="inlineStr">
        <is>
          <t>1. Выбери фазу → 04_Phase_Lab. Сверься с целевым feel на 02_Phases / 03b.</t>
        </is>
      </c>
    </row>
    <row r="15">
      <c r="A15" s="2" t="inlineStr">
        <is>
          <t>2. START: карты + люди + Built (Cheat Panel → Jump).</t>
        </is>
      </c>
    </row>
    <row r="16">
      <c r="A16" s="2" t="inlineStr">
        <is>
          <t>3. Slack = Duration − WallTimeNeed (с учётом modifier на TimeCost).</t>
        </is>
      </c>
    </row>
    <row r="17">
      <c r="A17" s="2" t="inlineStr">
        <is>
          <t>4. Крути knobs: оффер → люди → modifiers % → rewards.</t>
        </is>
      </c>
    </row>
    <row r="18">
      <c r="A18" s="2" t="inlineStr">
        <is>
          <t>5. Сыграй. OUTCOME → 05_Carryover.</t>
        </is>
      </c>
    </row>
    <row r="19">
      <c r="A19" s="2" t="inlineStr">
        <is>
          <t>6. OUTCOME N = START N+1.</t>
        </is>
      </c>
    </row>
    <row r="20">
      <c r="A20" s="2" t="inlineStr"/>
    </row>
    <row r="21">
      <c r="A21" s="3" t="inlineStr">
        <is>
          <t>Потом: пары (08_Pair_Curve)</t>
        </is>
      </c>
    </row>
    <row r="22">
      <c r="A22" s="2" t="inlineStr">
        <is>
          <t>Dip в середине пары; посадка к стыку. Особенно 4→5 (сброс) и 6→7 (финальный зажим).</t>
        </is>
      </c>
    </row>
    <row r="23">
      <c r="A23" s="2" t="inlineStr"/>
    </row>
    <row r="24">
      <c r="A24" s="3" t="inlineStr">
        <is>
          <t>Финал (06_Final_Landing)</t>
        </is>
      </c>
    </row>
    <row r="25">
      <c r="A25" s="2" t="inlineStr">
        <is>
          <t>После последнего дара doomsday = 5..15с. Сейчас Gain=200 — надо резать.</t>
        </is>
      </c>
    </row>
    <row r="26">
      <c r="A26" s="2" t="inlineStr"/>
    </row>
    <row r="27">
      <c r="A27" s="3" t="inlineStr">
        <is>
          <t>Цвета: жёлтый=INPUT, зелёный=формула</t>
        </is>
      </c>
    </row>
    <row r="28">
      <c r="A28" s="2" t="inlineStr"/>
    </row>
    <row r="29">
      <c r="A29" s="3" t="inlineStr">
        <is>
          <t>Дыры до баланса</t>
        </is>
      </c>
    </row>
    <row r="30">
      <c r="A30" s="2" t="inlineStr">
        <is>
          <t>• Stone producer отсутствует • Altar не unlock • Modifiers не в коде • Workers не ускоряют • Hire-оффер людей 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3" customWidth="1" min="4" max="4"/>
    <col width="30" customWidth="1" min="5" max="5"/>
    <col width="10" customWidth="1" min="6" max="6"/>
    <col width="18" customWidth="1" min="7" max="7"/>
    <col width="10" customWidth="1" min="8" max="8"/>
    <col width="9" customWidth="1" min="9" max="9"/>
    <col width="12" customWidth="1" min="10" max="10"/>
    <col width="12" customWidth="1" min="11" max="11"/>
    <col width="16" customWidth="1" min="12" max="12"/>
    <col width="25" customWidth="1" min="13" max="1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StartBuilt</t>
        </is>
      </c>
      <c r="D1" s="4" t="inlineStr">
        <is>
          <t>UnlockPhase</t>
        </is>
      </c>
      <c r="E1" s="4" t="inlineStr">
        <is>
          <t>BuildCost</t>
        </is>
      </c>
      <c r="F1" s="4" t="inlineStr">
        <is>
          <t>BuildSec</t>
        </is>
      </c>
      <c r="G1" s="4" t="inlineStr">
        <is>
          <t>Inputs</t>
        </is>
      </c>
      <c r="H1" s="4" t="inlineStr">
        <is>
          <t>Output</t>
        </is>
      </c>
      <c r="I1" s="4" t="inlineStr">
        <is>
          <t>ProdSec</t>
        </is>
      </c>
      <c r="J1" s="4" t="inlineStr">
        <is>
          <t>WorkersReq</t>
        </is>
      </c>
      <c r="K1" s="4" t="inlineStr">
        <is>
          <t>MaxWorkers</t>
        </is>
      </c>
      <c r="L1" s="4" t="inlineStr">
        <is>
          <t>UnitsPerSec_1w</t>
        </is>
      </c>
      <c r="M1" s="4" t="inlineStr">
        <is>
          <t>Notes</t>
        </is>
      </c>
    </row>
    <row r="2">
      <c r="A2" s="5" t="n">
        <v>0</v>
      </c>
      <c r="B2" s="5" t="inlineStr">
        <is>
          <t>Home</t>
        </is>
      </c>
      <c r="C2" s="5" t="b">
        <v>1</v>
      </c>
      <c r="D2" s="5" t="n">
        <v>0</v>
      </c>
      <c r="E2" s="5" t="inlineStr">
        <is>
          <t>3 Corn + 2 Wood</t>
        </is>
      </c>
      <c r="F2" s="6" t="n">
        <v>4</v>
      </c>
      <c r="G2" s="5" t="inlineStr">
        <is>
          <t>—</t>
        </is>
      </c>
      <c r="H2" s="5" t="inlineStr">
        <is>
          <t>Villager</t>
        </is>
      </c>
      <c r="I2" s="6" t="n">
        <v>3</v>
      </c>
      <c r="J2" s="6" t="n">
        <v>0</v>
      </c>
      <c r="K2" s="6" t="n">
        <v>0</v>
      </c>
      <c r="L2" s="7" t="n">
        <v>0.3333</v>
      </c>
      <c r="M2" s="5" t="inlineStr"/>
    </row>
    <row r="3">
      <c r="A3" s="5" t="n">
        <v>1</v>
      </c>
      <c r="B3" s="5" t="inlineStr">
        <is>
          <t>Well</t>
        </is>
      </c>
      <c r="C3" s="5" t="b">
        <v>1</v>
      </c>
      <c r="D3" s="5" t="n">
        <v>0</v>
      </c>
      <c r="E3" s="5" t="inlineStr">
        <is>
          <t>3 Corn + 3 Wood</t>
        </is>
      </c>
      <c r="F3" s="6" t="n">
        <v>3</v>
      </c>
      <c r="G3" s="5" t="inlineStr">
        <is>
          <t>—</t>
        </is>
      </c>
      <c r="H3" s="5" t="inlineStr">
        <is>
          <t>Water</t>
        </is>
      </c>
      <c r="I3" s="6" t="n">
        <v>3</v>
      </c>
      <c r="J3" s="6" t="n">
        <v>1</v>
      </c>
      <c r="K3" s="6" t="n">
        <v>3</v>
      </c>
      <c r="L3" s="7" t="n">
        <v>0.3333</v>
      </c>
      <c r="M3" s="5" t="inlineStr"/>
    </row>
    <row r="4">
      <c r="A4" s="5" t="n">
        <v>2</v>
      </c>
      <c r="B4" s="5" t="inlineStr">
        <is>
          <t>Lumber</t>
        </is>
      </c>
      <c r="C4" s="5" t="b">
        <v>1</v>
      </c>
      <c r="D4" s="5" t="n">
        <v>0</v>
      </c>
      <c r="E4" s="5" t="inlineStr">
        <is>
          <t>4 Corn + 2 Stone</t>
        </is>
      </c>
      <c r="F4" s="6" t="n">
        <v>3</v>
      </c>
      <c r="G4" s="5" t="inlineStr">
        <is>
          <t>—</t>
        </is>
      </c>
      <c r="H4" s="5" t="inlineStr">
        <is>
          <t>Wood</t>
        </is>
      </c>
      <c r="I4" s="6" t="n">
        <v>3</v>
      </c>
      <c r="J4" s="6" t="n">
        <v>1</v>
      </c>
      <c r="K4" s="6" t="n">
        <v>3</v>
      </c>
      <c r="L4" s="7" t="n">
        <v>0.3333</v>
      </c>
      <c r="M4" s="5" t="inlineStr"/>
    </row>
    <row r="5">
      <c r="A5" s="5" t="n">
        <v>3</v>
      </c>
      <c r="B5" s="5" t="inlineStr">
        <is>
          <t>Farm</t>
        </is>
      </c>
      <c r="C5" s="5" t="b">
        <v>0</v>
      </c>
      <c r="D5" s="5" t="n">
        <v>0</v>
      </c>
      <c r="E5" s="5" t="inlineStr">
        <is>
          <t>3 Wood + 2 Water</t>
        </is>
      </c>
      <c r="F5" s="6" t="n">
        <v>6</v>
      </c>
      <c r="G5" s="5" t="inlineStr">
        <is>
          <t>1 Wood + 1 Water</t>
        </is>
      </c>
      <c r="H5" s="5" t="inlineStr">
        <is>
          <t>Corn</t>
        </is>
      </c>
      <c r="I5" s="6" t="n">
        <v>3</v>
      </c>
      <c r="J5" s="6" t="n">
        <v>1</v>
      </c>
      <c r="K5" s="6" t="n">
        <v>3</v>
      </c>
      <c r="L5" s="7" t="n">
        <v>0.3333</v>
      </c>
      <c r="M5" s="5" t="inlineStr"/>
    </row>
    <row r="6">
      <c r="A6" s="5" t="n">
        <v>4</v>
      </c>
      <c r="B6" s="5" t="inlineStr">
        <is>
          <t>Altar</t>
        </is>
      </c>
      <c r="C6" s="5" t="b">
        <v>0</v>
      </c>
      <c r="D6" s="5" t="inlineStr">
        <is>
          <t>—</t>
        </is>
      </c>
      <c r="E6" s="5" t="inlineStr">
        <is>
          <t>5 Stone + 3 Wood + 2 Obsidian</t>
        </is>
      </c>
      <c r="F6" s="6" t="n">
        <v>6</v>
      </c>
      <c r="G6" s="5" t="inlineStr">
        <is>
          <t>1 Villager</t>
        </is>
      </c>
      <c r="H6" s="5" t="inlineStr">
        <is>
          <t>Blood</t>
        </is>
      </c>
      <c r="I6" s="6" t="n">
        <v>3</v>
      </c>
      <c r="J6" s="6" t="n">
        <v>1</v>
      </c>
      <c r="K6" s="6" t="n">
        <v>1</v>
      </c>
      <c r="L6" s="7" t="n">
        <v>0.3333</v>
      </c>
      <c r="M6" s="5" t="inlineStr">
        <is>
          <t>NEVER unlocked by phase</t>
        </is>
      </c>
    </row>
    <row r="7">
      <c r="A7" s="5" t="n">
        <v>5</v>
      </c>
      <c r="B7" s="5" t="inlineStr">
        <is>
          <t>Obsidian</t>
        </is>
      </c>
      <c r="C7" s="5" t="b">
        <v>0</v>
      </c>
      <c r="D7" s="5" t="n">
        <v>1</v>
      </c>
      <c r="E7" s="5" t="inlineStr">
        <is>
          <t>4 Wood + 4 Stone + 2 Corn</t>
        </is>
      </c>
      <c r="F7" s="6" t="n">
        <v>5</v>
      </c>
      <c r="G7" s="5" t="inlineStr">
        <is>
          <t>1 Corn + 1 Wood</t>
        </is>
      </c>
      <c r="H7" s="5" t="inlineStr">
        <is>
          <t>Obsidian</t>
        </is>
      </c>
      <c r="I7" s="6" t="n">
        <v>3</v>
      </c>
      <c r="J7" s="6" t="n">
        <v>3</v>
      </c>
      <c r="K7" s="6" t="n">
        <v>3</v>
      </c>
      <c r="L7" s="7" t="n">
        <v>0.3333</v>
      </c>
      <c r="M7" s="5" t="inlineStr"/>
    </row>
    <row r="8"/>
    <row r="9">
      <c r="A9" t="inlineStr">
        <is>
          <t>GAP</t>
        </is>
      </c>
      <c r="B9" t="inlineStr">
        <is>
          <t>No Stone producer</t>
        </is>
      </c>
      <c r="C9" t="inlineStr">
        <is>
          <t>Add Quarry or gatherable Stone</t>
        </is>
      </c>
      <c r="D9" t="inlineStr"/>
      <c r="E9" t="inlineStr"/>
      <c r="F9" t="inlineStr"/>
      <c r="G9" t="inlineStr"/>
      <c r="H9" t="inlineStr">
        <is>
          <t>Stone</t>
        </is>
      </c>
      <c r="I9" t="inlineStr"/>
      <c r="J9" t="inlineStr"/>
      <c r="K9" t="inlineStr"/>
      <c r="L9" t="inlineStr"/>
      <c r="M9" t="inlineStr">
        <is>
          <t>CRITICAL</t>
        </is>
      </c>
    </row>
    <row r="10">
      <c r="A10" t="inlineStr">
        <is>
          <t>GAP</t>
        </is>
      </c>
      <c r="B10" t="inlineStr">
        <is>
          <t>Altar unlock</t>
        </is>
      </c>
      <c r="C10" t="inlineStr">
        <is>
          <t>Put buildingId 4 into some phase unlockBuildingIds</t>
        </is>
      </c>
      <c r="D10" t="inlineStr"/>
      <c r="E10" t="inlineStr"/>
      <c r="F10" t="inlineStr"/>
      <c r="G10" t="inlineStr"/>
      <c r="H10" t="inlineStr">
        <is>
          <t>Blood</t>
        </is>
      </c>
      <c r="I10" t="inlineStr"/>
      <c r="J10" t="inlineStr"/>
      <c r="K10" t="inlineStr"/>
      <c r="L10" t="inlineStr"/>
      <c r="M10" t="inlineStr">
        <is>
          <t>CRITICAL</t>
        </is>
      </c>
    </row>
    <row r="11"/>
    <row r="12">
      <c r="A12" t="inlineStr">
        <is>
          <t>Assumption (planned)</t>
        </is>
      </c>
      <c r="B12" t="inlineStr">
        <is>
          <t>Extra workers multiply speed: rate = base * workers / WorkersReq</t>
        </is>
      </c>
    </row>
    <row r="13">
      <c r="A13" t="inlineStr">
        <is>
          <t>Current code</t>
        </is>
      </c>
      <c r="B13" t="inlineStr">
        <is>
          <t>Workers are ON/OFF threshold — stacking does NOT speed up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0" customWidth="1" min="4" max="4"/>
    <col width="13" customWidth="1" min="5" max="5"/>
    <col width="13" customWidth="1" min="6" max="6"/>
    <col width="15" customWidth="1" min="7" max="7"/>
    <col width="12" customWidth="1" min="8" max="8"/>
    <col width="15" customWidth="1" min="9" max="9"/>
    <col width="14" customWidth="1" min="10" max="10"/>
    <col width="13" customWidth="1" min="11" max="11"/>
    <col width="12" customWidth="1" min="12" max="12"/>
    <col width="17" customWidth="1" min="13" max="13"/>
    <col width="30" customWidth="1" min="14" max="14"/>
  </cols>
  <sheetData>
    <row r="1">
      <c r="A1" s="4" t="inlineStr">
        <is>
          <t>Phase</t>
        </is>
      </c>
      <c r="B1" s="4" t="inlineStr">
        <is>
          <t>Title</t>
        </is>
      </c>
      <c r="C1" s="4" t="inlineStr">
        <is>
          <t>Feel</t>
        </is>
      </c>
      <c r="D1" s="4" t="inlineStr">
        <is>
          <t>Diff1to5</t>
        </is>
      </c>
      <c r="E1" s="4" t="inlineStr">
        <is>
          <t>SlackTarget</t>
        </is>
      </c>
      <c r="F1" s="4" t="inlineStr">
        <is>
          <t>DurationSec</t>
        </is>
      </c>
      <c r="G1" s="4" t="inlineStr">
        <is>
          <t>OfferResource</t>
        </is>
      </c>
      <c r="H1" s="4" t="inlineStr">
        <is>
          <t>OfferCount</t>
        </is>
      </c>
      <c r="I1" s="4" t="inlineStr">
        <is>
          <t>SecRewardEach</t>
        </is>
      </c>
      <c r="J1" s="4" t="inlineStr">
        <is>
          <t>MaxTimerGain</t>
        </is>
      </c>
      <c r="K1" s="4" t="inlineStr">
        <is>
          <t>CumDuration</t>
        </is>
      </c>
      <c r="L1" s="4" t="inlineStr">
        <is>
          <t>CumMaxGain</t>
        </is>
      </c>
      <c r="M1" s="4" t="inlineStr">
        <is>
          <t>UnlockBuildings</t>
        </is>
      </c>
      <c r="N1" s="4" t="inlineStr">
        <is>
          <t>Intent</t>
        </is>
      </c>
    </row>
    <row r="2">
      <c r="A2" s="5" t="n">
        <v>0</v>
      </c>
      <c r="B2" s="5" t="inlineStr">
        <is>
          <t>Dawn Offering</t>
        </is>
      </c>
      <c r="C2" s="5" t="inlineStr">
        <is>
          <t>легко</t>
        </is>
      </c>
      <c r="D2" s="5" t="n">
        <v>1</v>
      </c>
      <c r="E2" s="5" t="inlineStr">
        <is>
          <t>15..25s</t>
        </is>
      </c>
      <c r="F2" s="6" t="n">
        <v>60</v>
      </c>
      <c r="G2" s="5" t="inlineStr">
        <is>
          <t>Corn</t>
        </is>
      </c>
      <c r="H2" s="6" t="n">
        <v>6</v>
      </c>
      <c r="I2" s="6" t="n">
        <v>8</v>
      </c>
      <c r="J2" s="7" t="n">
        <v>48</v>
      </c>
      <c r="K2" s="7" t="n">
        <v>60</v>
      </c>
      <c r="L2" s="7" t="n">
        <v>48</v>
      </c>
      <c r="M2" s="5" t="inlineStr">
        <is>
          <t>0,1,2,3</t>
        </is>
      </c>
      <c r="N2" s="5" t="inlineStr">
        <is>
          <t>обучить DnD/оффер, почти без наказаний</t>
        </is>
      </c>
    </row>
    <row r="3">
      <c r="A3" s="5" t="n">
        <v>1</v>
      </c>
      <c r="B3" s="5" t="inlineStr">
        <is>
          <t>Stone &amp; Timber</t>
        </is>
      </c>
      <c r="C3" s="5" t="inlineStr">
        <is>
          <t>средне</t>
        </is>
      </c>
      <c r="D3" s="5" t="n">
        <v>2</v>
      </c>
      <c r="E3" s="5" t="inlineStr">
        <is>
          <t>10..18s</t>
        </is>
      </c>
      <c r="F3" s="6" t="n">
        <v>90</v>
      </c>
      <c r="G3" s="5" t="inlineStr">
        <is>
          <t>Stone</t>
        </is>
      </c>
      <c r="H3" s="6" t="n">
        <v>10</v>
      </c>
      <c r="I3" s="6" t="n">
        <v>6</v>
      </c>
      <c r="J3" s="7" t="n">
        <v>84</v>
      </c>
      <c r="K3" s="7" t="n">
        <v>150</v>
      </c>
      <c r="L3" s="7" t="n">
        <v>132</v>
      </c>
      <c r="M3" s="5" t="inlineStr">
        <is>
          <t>5</t>
        </is>
      </c>
      <c r="N3" s="5" t="inlineStr">
        <is>
          <t>новый ресурс + лёгкий выбор работ</t>
        </is>
      </c>
    </row>
    <row r="4">
      <c r="A4" s="5" t="inlineStr"/>
      <c r="B4" s="5" t="inlineStr"/>
      <c r="C4" s="5" t="inlineStr"/>
      <c r="D4" s="5" t="inlineStr"/>
      <c r="E4" s="5" t="inlineStr"/>
      <c r="F4" s="6" t="inlineStr"/>
      <c r="G4" s="5" t="inlineStr">
        <is>
          <t>Wood</t>
        </is>
      </c>
      <c r="H4" s="6" t="n">
        <v>3</v>
      </c>
      <c r="I4" s="6" t="n">
        <v>8</v>
      </c>
      <c r="J4" s="7" t="inlineStr"/>
      <c r="K4" s="7" t="inlineStr"/>
      <c r="L4" s="7" t="inlineStr"/>
      <c r="M4" s="5" t="inlineStr"/>
      <c r="N4" s="5" t="inlineStr"/>
    </row>
    <row r="5">
      <c r="A5" s="5" t="n">
        <v>2</v>
      </c>
      <c r="B5" s="5" t="inlineStr">
        <is>
          <t>Harvest Pressure</t>
        </is>
      </c>
      <c r="C5" s="5" t="inlineStr">
        <is>
          <t>сложнее</t>
        </is>
      </c>
      <c r="D5" s="5" t="n">
        <v>3</v>
      </c>
      <c r="E5" s="5" t="inlineStr">
        <is>
          <t>5..12s</t>
        </is>
      </c>
      <c r="F5" s="6" t="n">
        <v>90</v>
      </c>
      <c r="G5" s="5" t="inlineStr">
        <is>
          <t>Corn</t>
        </is>
      </c>
      <c r="H5" s="6" t="n">
        <v>12</v>
      </c>
      <c r="I5" s="6" t="n">
        <v>5</v>
      </c>
      <c r="J5" s="7" t="n">
        <v>60</v>
      </c>
      <c r="K5" s="7" t="n">
        <v>240</v>
      </c>
      <c r="L5" s="7" t="n">
        <v>192</v>
      </c>
      <c r="M5" s="5" t="inlineStr">
        <is>
          <t>—</t>
        </is>
      </c>
      <c r="N5" s="5" t="inlineStr">
        <is>
          <t>давление corn; можно −% Farm</t>
        </is>
      </c>
    </row>
    <row r="6">
      <c r="A6" s="5" t="n">
        <v>3</v>
      </c>
      <c r="B6" s="5" t="inlineStr">
        <is>
          <t>Obsidian Idols</t>
        </is>
      </c>
      <c r="C6" s="5" t="inlineStr">
        <is>
          <t>сложно</t>
        </is>
      </c>
      <c r="D6" s="5" t="n">
        <v>4</v>
      </c>
      <c r="E6" s="5" t="inlineStr">
        <is>
          <t>3..8s</t>
        </is>
      </c>
      <c r="F6" s="6" t="n">
        <v>100</v>
      </c>
      <c r="G6" s="5" t="inlineStr">
        <is>
          <t>Obsidian</t>
        </is>
      </c>
      <c r="H6" s="6" t="n">
        <v>4</v>
      </c>
      <c r="I6" s="6" t="n">
        <v>18</v>
      </c>
      <c r="J6" s="7" t="n">
        <v>72</v>
      </c>
      <c r="K6" s="7" t="n">
        <v>340</v>
      </c>
      <c r="L6" s="7" t="n">
        <v>264</v>
      </c>
      <c r="M6" s="5" t="inlineStr">
        <is>
          <t>—</t>
        </is>
      </c>
      <c r="N6" s="5" t="inlineStr">
        <is>
          <t>Obsidian 3 workers — пик дефицита людей</t>
        </is>
      </c>
    </row>
    <row r="7">
      <c r="A7" s="5" t="n">
        <v>4</v>
      </c>
      <c r="B7" s="5" t="inlineStr">
        <is>
          <t>Mixed Tribute</t>
        </is>
      </c>
      <c r="C7" s="5" t="inlineStr">
        <is>
          <t>на пределе</t>
        </is>
      </c>
      <c r="D7" s="5" t="n">
        <v>5</v>
      </c>
      <c r="E7" s="5" t="inlineStr">
        <is>
          <t>0..5s</t>
        </is>
      </c>
      <c r="F7" s="6" t="n">
        <v>100</v>
      </c>
      <c r="G7" s="5" t="inlineStr">
        <is>
          <t>Wood</t>
        </is>
      </c>
      <c r="H7" s="6" t="n">
        <v>8</v>
      </c>
      <c r="I7" s="6" t="n">
        <v>5</v>
      </c>
      <c r="J7" s="7" t="n">
        <v>104</v>
      </c>
      <c r="K7" s="7" t="n">
        <v>440</v>
      </c>
      <c r="L7" s="7" t="n">
        <v>368</v>
      </c>
      <c r="M7" s="5" t="inlineStr">
        <is>
          <t>—</t>
        </is>
      </c>
      <c r="N7" s="5" t="inlineStr">
        <is>
          <t>mixed parallel — всё не покрыть</t>
        </is>
      </c>
    </row>
    <row r="8">
      <c r="A8" s="5" t="inlineStr"/>
      <c r="B8" s="5" t="inlineStr"/>
      <c r="C8" s="5" t="inlineStr"/>
      <c r="D8" s="5" t="inlineStr"/>
      <c r="E8" s="5" t="inlineStr"/>
      <c r="F8" s="6" t="inlineStr"/>
      <c r="G8" s="5" t="inlineStr">
        <is>
          <t>Stone</t>
        </is>
      </c>
      <c r="H8" s="6" t="n">
        <v>8</v>
      </c>
      <c r="I8" s="6" t="n">
        <v>5</v>
      </c>
      <c r="J8" s="7" t="inlineStr"/>
      <c r="K8" s="7" t="inlineStr"/>
      <c r="L8" s="7" t="inlineStr"/>
      <c r="M8" s="5" t="inlineStr"/>
      <c r="N8" s="5" t="inlineStr"/>
    </row>
    <row r="9">
      <c r="A9" s="5" t="inlineStr"/>
      <c r="B9" s="5" t="inlineStr"/>
      <c r="C9" s="5" t="inlineStr"/>
      <c r="D9" s="5" t="inlineStr"/>
      <c r="E9" s="5" t="inlineStr"/>
      <c r="F9" s="6" t="inlineStr"/>
      <c r="G9" s="5" t="inlineStr">
        <is>
          <t>Corn</t>
        </is>
      </c>
      <c r="H9" s="6" t="n">
        <v>6</v>
      </c>
      <c r="I9" s="6" t="n">
        <v>4</v>
      </c>
      <c r="J9" s="7" t="inlineStr"/>
      <c r="K9" s="7" t="inlineStr"/>
      <c r="L9" s="7" t="inlineStr"/>
      <c r="M9" s="5" t="inlineStr"/>
      <c r="N9" s="5" t="inlineStr"/>
    </row>
    <row r="10">
      <c r="A10" s="5" t="n">
        <v>5</v>
      </c>
      <c r="B10" s="5" t="inlineStr">
        <is>
          <t>First Blood</t>
        </is>
      </c>
      <c r="C10" s="5" t="inlineStr">
        <is>
          <t>легко / развитие</t>
        </is>
      </c>
      <c r="D10" s="5" t="n">
        <v>2</v>
      </c>
      <c r="E10" s="5" t="inlineStr">
        <is>
          <t>15..30s</t>
        </is>
      </c>
      <c r="F10" s="6" t="n">
        <v>110</v>
      </c>
      <c r="G10" s="5" t="inlineStr">
        <is>
          <t>Blood</t>
        </is>
      </c>
      <c r="H10" s="6" t="n">
        <v>3</v>
      </c>
      <c r="I10" s="6" t="n">
        <v>25</v>
      </c>
      <c r="J10" s="7" t="n">
        <v>75</v>
      </c>
      <c r="K10" s="7" t="n">
        <v>550</v>
      </c>
      <c r="L10" s="7" t="n">
        <v>443</v>
      </c>
      <c r="M10" s="5" t="inlineStr">
        <is>
          <t>—</t>
        </is>
      </c>
      <c r="N10" s="5" t="inlineStr">
        <is>
          <t>передышка: освоить Blood/Altar, накопить</t>
        </is>
      </c>
    </row>
    <row r="11">
      <c r="A11" s="5" t="n">
        <v>6</v>
      </c>
      <c r="B11" s="5" t="inlineStr">
        <is>
          <t>Twin Demands</t>
        </is>
      </c>
      <c r="C11" s="5" t="inlineStr">
        <is>
          <t>сложно</t>
        </is>
      </c>
      <c r="D11" s="5" t="n">
        <v>4</v>
      </c>
      <c r="E11" s="5" t="inlineStr">
        <is>
          <t>3..8s</t>
        </is>
      </c>
      <c r="F11" s="6" t="n">
        <v>120</v>
      </c>
      <c r="G11" s="5" t="inlineStr">
        <is>
          <t>Obsidian</t>
        </is>
      </c>
      <c r="H11" s="6" t="n">
        <v>3</v>
      </c>
      <c r="I11" s="6" t="n">
        <v>20</v>
      </c>
      <c r="J11" s="7" t="n">
        <v>120</v>
      </c>
      <c r="K11" s="7" t="n">
        <v>670</v>
      </c>
      <c r="L11" s="7" t="n">
        <v>563</v>
      </c>
      <c r="M11" s="5" t="inlineStr">
        <is>
          <t>—</t>
        </is>
      </c>
      <c r="N11" s="5" t="inlineStr">
        <is>
          <t>twin demands; душить StartTimer для финала</t>
        </is>
      </c>
    </row>
    <row r="12">
      <c r="A12" s="5" t="inlineStr"/>
      <c r="B12" s="5" t="inlineStr"/>
      <c r="C12" s="5" t="inlineStr"/>
      <c r="D12" s="5" t="inlineStr"/>
      <c r="E12" s="5" t="inlineStr"/>
      <c r="F12" s="6" t="inlineStr"/>
      <c r="G12" s="5" t="inlineStr">
        <is>
          <t>Blood</t>
        </is>
      </c>
      <c r="H12" s="6" t="n">
        <v>2</v>
      </c>
      <c r="I12" s="6" t="n">
        <v>30</v>
      </c>
      <c r="J12" s="7" t="inlineStr"/>
      <c r="K12" s="7" t="inlineStr"/>
      <c r="L12" s="7" t="inlineStr"/>
      <c r="M12" s="5" t="inlineStr"/>
      <c r="N12" s="5" t="inlineStr"/>
    </row>
    <row r="13">
      <c r="A13" s="5" t="n">
        <v>7</v>
      </c>
      <c r="B13" s="5" t="inlineStr">
        <is>
          <t>Final Propitiation</t>
        </is>
      </c>
      <c r="C13" s="5" t="inlineStr">
        <is>
          <t>очень сложно</t>
        </is>
      </c>
      <c r="D13" s="5" t="n">
        <v>5</v>
      </c>
      <c r="E13" s="5" t="inlineStr">
        <is>
          <t>0..5s</t>
        </is>
      </c>
      <c r="F13" s="6" t="n">
        <v>120</v>
      </c>
      <c r="G13" s="5" t="inlineStr">
        <is>
          <t>Blood</t>
        </is>
      </c>
      <c r="H13" s="6" t="n">
        <v>5</v>
      </c>
      <c r="I13" s="6" t="n">
        <v>22</v>
      </c>
      <c r="J13" s="7" t="n">
        <v>200</v>
      </c>
      <c r="K13" s="7" t="n">
        <v>790</v>
      </c>
      <c r="L13" s="7" t="n">
        <v>763</v>
      </c>
      <c r="M13" s="5" t="inlineStr">
        <is>
          <t>—</t>
        </is>
      </c>
      <c r="N13" s="5" t="inlineStr">
        <is>
          <t>финал; landing doomsday 5..15 после последнего дара</t>
        </is>
      </c>
    </row>
    <row r="14">
      <c r="A14" s="5" t="inlineStr"/>
      <c r="B14" s="5" t="inlineStr"/>
      <c r="C14" s="5" t="inlineStr"/>
      <c r="D14" s="5" t="inlineStr"/>
      <c r="E14" s="5" t="inlineStr"/>
      <c r="F14" s="6" t="inlineStr"/>
      <c r="G14" s="5" t="inlineStr">
        <is>
          <t>Obsidian</t>
        </is>
      </c>
      <c r="H14" s="6" t="n">
        <v>4</v>
      </c>
      <c r="I14" s="6" t="n">
        <v>15</v>
      </c>
      <c r="J14" s="7" t="inlineStr"/>
      <c r="K14" s="7" t="inlineStr"/>
      <c r="L14" s="7" t="inlineStr"/>
      <c r="M14" s="5" t="inlineStr"/>
      <c r="N14" s="5" t="inlineStr"/>
    </row>
    <row r="15">
      <c r="A15" s="5" t="inlineStr"/>
      <c r="B15" s="5" t="inlineStr"/>
      <c r="C15" s="5" t="inlineStr"/>
      <c r="D15" s="5" t="inlineStr"/>
      <c r="E15" s="5" t="inlineStr"/>
      <c r="F15" s="6" t="inlineStr"/>
      <c r="G15" s="5" t="inlineStr">
        <is>
          <t>Corn</t>
        </is>
      </c>
      <c r="H15" s="6" t="n">
        <v>10</v>
      </c>
      <c r="I15" s="6" t="n">
        <v>3</v>
      </c>
      <c r="J15" s="7" t="inlineStr"/>
      <c r="K15" s="7" t="inlineStr"/>
      <c r="L15" s="7" t="inlineStr"/>
      <c r="M15" s="5" t="inlineStr"/>
      <c r="N15" s="5" t="inlineStr"/>
    </row>
    <row r="16"/>
    <row r="17">
      <c r="A17" t="inlineStr">
        <is>
          <t>TOTAL</t>
        </is>
      </c>
      <c r="B17" t="inlineStr"/>
      <c r="C17" t="inlineStr"/>
      <c r="D17" t="inlineStr"/>
      <c r="E17" t="inlineStr"/>
      <c r="F17" t="n">
        <v>790</v>
      </c>
      <c r="G17" t="inlineStr"/>
      <c r="H17" t="inlineStr"/>
      <c r="I17" t="inlineStr"/>
      <c r="J17" t="n">
        <v>763</v>
      </c>
      <c r="K17" t="inlineStr"/>
      <c r="L17" t="inlineStr"/>
      <c r="M17" t="inlineStr"/>
      <c r="N17" t="inlineStr">
        <is>
          <t>baseline 99 + maxGain 763 − totalDur 790 = 72</t>
        </is>
      </c>
    </row>
    <row r="18"/>
    <row r="19">
      <c r="A19" t="inlineStr">
        <is>
          <t>Кривая feel:</t>
        </is>
      </c>
      <c r="B19" t="inlineStr">
        <is>
          <t>легко → средне → сложнее → сложно → ПРЕДЕЛ → передышка → сложно → ОЧЕНЬ сложно</t>
        </is>
      </c>
    </row>
    <row r="20">
      <c r="A20" t="inlineStr">
        <is>
          <t>Фаза 5 специально легче — развитие/освоение Blood, чтобы 6–7 били контрастом.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9" customWidth="1" min="3" max="3"/>
    <col width="20" customWidth="1" min="4" max="4"/>
    <col width="17" customWidth="1" min="5" max="5"/>
    <col width="13" customWidth="1" min="6" max="6"/>
    <col width="35" customWidth="1" min="7" max="7"/>
  </cols>
  <sheetData>
    <row r="1">
      <c r="A1" s="8" t="inlineStr">
        <is>
          <t>Теоретическая цена времени 1 единицы (1 worker, без очередей)</t>
        </is>
      </c>
    </row>
    <row r="2"/>
    <row r="3">
      <c r="A3" s="4" t="inlineStr">
        <is>
          <t>Resource</t>
        </is>
      </c>
      <c r="B3" s="4" t="inlineStr">
        <is>
          <t>ProducedBy</t>
        </is>
      </c>
      <c r="C3" s="4" t="inlineStr">
        <is>
          <t>ProdSec</t>
        </is>
      </c>
      <c r="D3" s="4" t="inlineStr">
        <is>
          <t>InputChainExtraSec</t>
        </is>
      </c>
      <c r="E3" s="4" t="inlineStr">
        <is>
          <t>TotalSecPerUnit</t>
        </is>
      </c>
      <c r="F3" s="4" t="inlineStr">
        <is>
          <t>UnitsPerMin</t>
        </is>
      </c>
      <c r="G3" s="4" t="inlineStr">
        <is>
          <t>Editable?</t>
        </is>
      </c>
    </row>
    <row r="4">
      <c r="A4" s="5" t="inlineStr">
        <is>
          <t>Water</t>
        </is>
      </c>
      <c r="B4" s="5" t="inlineStr">
        <is>
          <t>Well</t>
        </is>
      </c>
      <c r="C4" s="6" t="n">
        <v>3</v>
      </c>
      <c r="D4" s="6" t="n">
        <v>0</v>
      </c>
      <c r="E4" s="6" t="n">
        <v>3</v>
      </c>
      <c r="F4" s="5" t="n">
        <v>20</v>
      </c>
      <c r="G4" s="5" t="inlineStr">
        <is>
          <t>yes</t>
        </is>
      </c>
    </row>
    <row r="5">
      <c r="A5" s="5" t="inlineStr">
        <is>
          <t>Wood</t>
        </is>
      </c>
      <c r="B5" s="5" t="inlineStr">
        <is>
          <t>Lumber</t>
        </is>
      </c>
      <c r="C5" s="6" t="n">
        <v>3</v>
      </c>
      <c r="D5" s="6" t="n">
        <v>0</v>
      </c>
      <c r="E5" s="6" t="n">
        <v>3</v>
      </c>
      <c r="F5" s="5" t="n">
        <v>20</v>
      </c>
      <c r="G5" s="5" t="inlineStr">
        <is>
          <t>yes</t>
        </is>
      </c>
    </row>
    <row r="6">
      <c r="A6" s="5" t="inlineStr">
        <is>
          <t>Corn</t>
        </is>
      </c>
      <c r="B6" s="5" t="inlineStr">
        <is>
          <t>Farm</t>
        </is>
      </c>
      <c r="C6" s="6" t="n">
        <v>3</v>
      </c>
      <c r="D6" s="6" t="n">
        <v>6</v>
      </c>
      <c r="E6" s="6" t="n">
        <v>9</v>
      </c>
      <c r="F6" s="5" t="n">
        <v>6.7</v>
      </c>
      <c r="G6" s="5" t="inlineStr">
        <is>
          <t>yes — chain Wood+Water if empty</t>
        </is>
      </c>
    </row>
    <row r="7">
      <c r="A7" s="5" t="inlineStr">
        <is>
          <t>Stone</t>
        </is>
      </c>
      <c r="B7" s="5" t="inlineStr">
        <is>
          <t>??? MISSING</t>
        </is>
      </c>
      <c r="C7" s="6" t="n">
        <v>0</v>
      </c>
      <c r="D7" s="6" t="n">
        <v>0</v>
      </c>
      <c r="E7" s="6" t="n">
        <v>999</v>
      </c>
      <c r="F7" s="5" t="n">
        <v>0</v>
      </c>
      <c r="G7" s="5" t="inlineStr">
        <is>
          <t>MUST FIX</t>
        </is>
      </c>
    </row>
    <row r="8">
      <c r="A8" s="5" t="inlineStr">
        <is>
          <t>Obsidian</t>
        </is>
      </c>
      <c r="B8" s="5" t="inlineStr">
        <is>
          <t>Obsidian</t>
        </is>
      </c>
      <c r="C8" s="6" t="n">
        <v>3</v>
      </c>
      <c r="D8" s="6" t="n">
        <v>12</v>
      </c>
      <c r="E8" s="6" t="n">
        <v>15</v>
      </c>
      <c r="F8" s="5" t="n">
        <v>4</v>
      </c>
      <c r="G8" s="5" t="inlineStr">
        <is>
          <t>yes — Corn+Wood rough</t>
        </is>
      </c>
    </row>
    <row r="9">
      <c r="A9" s="5" t="inlineStr">
        <is>
          <t>Blood</t>
        </is>
      </c>
      <c r="B9" s="5" t="inlineStr">
        <is>
          <t>Altar</t>
        </is>
      </c>
      <c r="C9" s="6" t="n">
        <v>3</v>
      </c>
      <c r="D9" s="6" t="n">
        <v>0</v>
      </c>
      <c r="E9" s="6" t="n">
        <v>3</v>
      </c>
      <c r="F9" s="5" t="n">
        <v>20</v>
      </c>
      <c r="G9" s="5" t="inlineStr">
        <is>
          <t>yes — + Villager opportunity cost</t>
        </is>
      </c>
    </row>
    <row r="10">
      <c r="A10" s="5" t="inlineStr">
        <is>
          <t>Villager</t>
        </is>
      </c>
      <c r="B10" s="5" t="inlineStr">
        <is>
          <t>Home/Offer</t>
        </is>
      </c>
      <c r="C10" s="6" t="n">
        <v>3</v>
      </c>
      <c r="D10" s="6" t="n">
        <v>0</v>
      </c>
      <c r="E10" s="6" t="n">
        <v>3</v>
      </c>
      <c r="F10" s="5" t="n">
        <v>20</v>
      </c>
      <c r="G10" s="5" t="inlineStr">
        <is>
          <t>will become offer-cost</t>
        </is>
      </c>
    </row>
    <row r="11"/>
    <row r="12">
      <c r="A12" t="inlineStr">
        <is>
          <t>Как пользоваться</t>
        </is>
      </c>
    </row>
    <row r="13">
      <c r="A13" t="inlineStr">
        <is>
          <t>OfferCount × TotalSecPerUnit ≈ минимум wall-time на оффер.</t>
        </is>
      </c>
    </row>
    <row r="14">
      <c r="A14" t="inlineStr">
        <is>
          <t>Если DurationSec &lt; минимума → фаза непроходима без стока с прошлой фазы.</t>
        </is>
      </c>
    </row>
    <row r="15">
      <c r="A15" t="inlineStr">
        <is>
          <t>InputChainExtraSec = 0, если инпуты уже на старте (carryover).</t>
        </is>
      </c>
    </row>
    <row r="16">
      <c r="A16" t="inlineStr">
        <is>
          <t>План workers: 2 на Well → эффективный ProdSec = 3/2 = 1.5.</t>
        </is>
      </c>
    </row>
    <row r="17">
      <c r="A17" t="inlineStr">
        <is>
          <t>Phase modifiers (03b): EffectiveProdSec = ProdSec / (1+SpeedPct/100). −20% → ×1.25 к времени.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1" customWidth="1" min="3" max="3"/>
    <col width="16" customWidth="1" min="4" max="4"/>
    <col width="15" customWidth="1" min="5" max="5"/>
    <col width="21" customWidth="1" min="6" max="6"/>
    <col width="28" customWidth="1" min="7" max="7"/>
    <col width="44" customWidth="1" min="8" max="8"/>
  </cols>
  <sheetData>
    <row r="1">
      <c r="A1" s="1" t="inlineStr">
        <is>
          <t>PHASE PRODUCTION MODIFIERS — рычаг сложности (ещё НЕ в коде)</t>
        </is>
      </c>
    </row>
    <row r="2"/>
    <row r="3">
      <c r="A3" t="inlineStr">
        <is>
          <t>Смысл</t>
        </is>
      </c>
      <c r="B3" t="inlineStr">
        <is>
          <t>Множитель скорости производства на фазе. −20% Corn = Farm крафтит дольше → оффер кукурузы давит без правки count/reward.</t>
        </is>
      </c>
    </row>
    <row r="4">
      <c r="A4" t="inlineStr">
        <is>
          <t>Формула</t>
        </is>
      </c>
      <c r="B4" t="inlineStr">
        <is>
          <t>EffectiveProdSec = BaseProdSec / (1 + SpeedPct/100). Пример: 3с и −20% → 3/0.8 = 3.75с.</t>
        </is>
      </c>
    </row>
    <row r="5">
      <c r="A5" t="inlineStr">
        <is>
          <t>Когда трогать</t>
        </is>
      </c>
      <c r="B5" t="inlineStr">
        <is>
          <t>После оффера/людей: нужно дожать feel, но не ломать экономику соседних фаз.</t>
        </is>
      </c>
    </row>
    <row r="6"/>
    <row r="7">
      <c r="A7" s="4" t="inlineStr">
        <is>
          <t>Phase</t>
        </is>
      </c>
      <c r="B7" s="4" t="inlineStr">
        <is>
          <t>Feel</t>
        </is>
      </c>
      <c r="C7" s="4" t="inlineStr">
        <is>
          <t>Scope (All/Resource/Building)</t>
        </is>
      </c>
      <c r="D7" s="4" t="inlineStr">
        <is>
          <t>SpeedPct</t>
        </is>
      </c>
      <c r="E7" s="4" t="inlineStr">
        <is>
          <t>BaseProdSec</t>
        </is>
      </c>
      <c r="F7" s="4" t="inlineStr">
        <is>
          <t>EffectiveProdSec</t>
        </is>
      </c>
      <c r="G7" s="4" t="inlineStr">
        <is>
          <t>Effect on WallTime</t>
        </is>
      </c>
      <c r="H7" s="4" t="inlineStr">
        <is>
          <t>Notes</t>
        </is>
      </c>
    </row>
    <row r="8">
      <c r="A8" s="5" t="n">
        <v>0</v>
      </c>
      <c r="B8" s="5" t="inlineStr">
        <is>
          <t>легко</t>
        </is>
      </c>
      <c r="C8" s="5" t="inlineStr">
        <is>
          <t>—</t>
        </is>
      </c>
      <c r="D8" s="6" t="n">
        <v>0</v>
      </c>
      <c r="E8" s="6" t="n">
        <v>3</v>
      </c>
      <c r="F8" s="7">
        <f>E8/(1+D8/100)</f>
        <v/>
      </c>
      <c r="G8" s="5" t="inlineStr">
        <is>
          <t>без модификатора</t>
        </is>
      </c>
      <c r="H8" s="5" t="inlineStr">
        <is>
          <t>чисто / tutorial</t>
        </is>
      </c>
    </row>
    <row r="9">
      <c r="A9" s="5" t="n">
        <v>1</v>
      </c>
      <c r="B9" s="5" t="inlineStr">
        <is>
          <t>средне</t>
        </is>
      </c>
      <c r="C9" s="6" t="inlineStr">
        <is>
          <t>Stone</t>
        </is>
      </c>
      <c r="D9" s="6" t="n">
        <v>-10</v>
      </c>
      <c r="E9" s="6" t="n">
        <v>3</v>
      </c>
      <c r="F9" s="7">
        <f>E9/(1+D9/100)</f>
        <v/>
      </c>
      <c r="G9" s="7">
        <f>IF(D9=0,1,1/(1+D9/100))</f>
        <v/>
      </c>
      <c r="H9" s="6" t="inlineStr">
        <is>
          <t>если появится quarry — чуть подрезать, чтобы не фармили вперёд</t>
        </is>
      </c>
    </row>
    <row r="10">
      <c r="A10" s="5" t="n">
        <v>2</v>
      </c>
      <c r="B10" s="5" t="inlineStr">
        <is>
          <t>сложнее</t>
        </is>
      </c>
      <c r="C10" s="6" t="inlineStr">
        <is>
          <t>Corn</t>
        </is>
      </c>
      <c r="D10" s="6" t="n">
        <v>-20</v>
      </c>
      <c r="E10" s="6" t="n">
        <v>3</v>
      </c>
      <c r="F10" s="7">
        <f>E10/(1+D10/100)</f>
        <v/>
      </c>
      <c r="G10" s="7">
        <f>IF(D10=0,1,1/(1+D10/100))</f>
        <v/>
      </c>
      <c r="H10" s="6" t="inlineStr">
        <is>
          <t>Harvest Pressure: −20% Farm — главный рычаг без резки оффера</t>
        </is>
      </c>
    </row>
    <row r="11">
      <c r="A11" s="5" t="n">
        <v>3</v>
      </c>
      <c r="B11" s="5" t="inlineStr">
        <is>
          <t>сложно</t>
        </is>
      </c>
      <c r="C11" s="6" t="inlineStr">
        <is>
          <t>Obsidian</t>
        </is>
      </c>
      <c r="D11" s="6" t="n">
        <v>-15</v>
      </c>
      <c r="E11" s="6" t="n">
        <v>3</v>
      </c>
      <c r="F11" s="7">
        <f>E11/(1+D11/100)</f>
        <v/>
      </c>
      <c r="G11" s="7">
        <f>IF(D11=0,1,1/(1+D11/100))</f>
        <v/>
      </c>
      <c r="H11" s="6" t="inlineStr">
        <is>
          <t>дорого по времени + уже 3 workers</t>
        </is>
      </c>
    </row>
    <row r="12">
      <c r="A12" s="5" t="n">
        <v>4</v>
      </c>
      <c r="B12" s="5" t="inlineStr">
        <is>
          <t>на пределе</t>
        </is>
      </c>
      <c r="C12" s="6" t="inlineStr">
        <is>
          <t>All</t>
        </is>
      </c>
      <c r="D12" s="6" t="n">
        <v>-10</v>
      </c>
      <c r="E12" s="6" t="n">
        <v>3</v>
      </c>
      <c r="F12" s="7">
        <f>E12/(1+D12/100)</f>
        <v/>
      </c>
      <c r="G12" s="7">
        <f>IF(D12=0,1,1/(1+D12/100))</f>
        <v/>
      </c>
      <c r="H12" s="6" t="inlineStr">
        <is>
          <t>глобальный −10% на пределе; или точечно Wood/Stone/Corn −15</t>
        </is>
      </c>
    </row>
    <row r="13">
      <c r="A13" s="5" t="n">
        <v>5</v>
      </c>
      <c r="B13" s="5" t="inlineStr">
        <is>
          <t>легко / развитие</t>
        </is>
      </c>
      <c r="C13" s="6" t="inlineStr">
        <is>
          <t>Blood</t>
        </is>
      </c>
      <c r="D13" s="6" t="n">
        <v>10</v>
      </c>
      <c r="E13" s="6" t="n">
        <v>3</v>
      </c>
      <c r="F13" s="7">
        <f>E13/(1+D13/100)</f>
        <v/>
      </c>
      <c r="G13" s="7">
        <f>IF(D13=0,1,1/(1+D13/100))</f>
        <v/>
      </c>
      <c r="H13" s="6" t="inlineStr">
        <is>
          <t>передышка: чуть быстрее Altar, дать освоить жертву</t>
        </is>
      </c>
    </row>
    <row r="14">
      <c r="A14" s="5" t="inlineStr"/>
      <c r="B14" s="5" t="inlineStr"/>
      <c r="C14" s="6" t="inlineStr">
        <is>
          <t>All</t>
        </is>
      </c>
      <c r="D14" s="6" t="n">
        <v>5</v>
      </c>
      <c r="E14" s="6" t="n">
        <v>3</v>
      </c>
      <c r="F14" s="7">
        <f>E14/(1+D14/100)</f>
        <v/>
      </c>
      <c r="G14" s="7">
        <f>IF(D14=0,1,1/(1+D14/100))</f>
        <v/>
      </c>
      <c r="H14" s="6" t="inlineStr">
        <is>
          <t>лёгкий буст развития</t>
        </is>
      </c>
    </row>
    <row r="15">
      <c r="A15" s="5" t="n">
        <v>6</v>
      </c>
      <c r="B15" s="5" t="inlineStr">
        <is>
          <t>сложно</t>
        </is>
      </c>
      <c r="C15" s="6" t="inlineStr">
        <is>
          <t>Obsidian</t>
        </is>
      </c>
      <c r="D15" s="6" t="n">
        <v>-20</v>
      </c>
      <c r="E15" s="6" t="n">
        <v>3</v>
      </c>
      <c r="F15" s="7">
        <f>E15/(1+D15/100)</f>
        <v/>
      </c>
      <c r="G15" s="7">
        <f>IF(D15=0,1,1/(1+D15/100))</f>
        <v/>
      </c>
      <c r="H15" s="6" t="inlineStr"/>
    </row>
    <row r="16">
      <c r="A16" s="5" t="inlineStr"/>
      <c r="B16" s="5" t="inlineStr"/>
      <c r="C16" s="6" t="inlineStr">
        <is>
          <t>Blood</t>
        </is>
      </c>
      <c r="D16" s="6" t="n">
        <v>-10</v>
      </c>
      <c r="E16" s="6" t="n">
        <v>3</v>
      </c>
      <c r="F16" s="7">
        <f>E16/(1+D16/100)</f>
        <v/>
      </c>
      <c r="G16" s="7">
        <f>IF(D16=0,1,1/(1+D16/100))</f>
        <v/>
      </c>
      <c r="H16" s="6" t="inlineStr">
        <is>
          <t>twin — обе ветки медленнее</t>
        </is>
      </c>
    </row>
    <row r="17">
      <c r="A17" s="5" t="n">
        <v>7</v>
      </c>
      <c r="B17" s="5" t="inlineStr">
        <is>
          <t>очень сложно</t>
        </is>
      </c>
      <c r="C17" s="6" t="inlineStr">
        <is>
          <t>All</t>
        </is>
      </c>
      <c r="D17" s="6" t="n">
        <v>-15</v>
      </c>
      <c r="E17" s="6" t="n">
        <v>3</v>
      </c>
      <c r="F17" s="7">
        <f>E17/(1+D17/100)</f>
        <v/>
      </c>
      <c r="G17" s="7">
        <f>IF(D17=0,1,1/(1+D17/100))</f>
        <v/>
      </c>
      <c r="H17" s="6" t="inlineStr">
        <is>
          <t>финальное сжатие; либо только Blood/Obsidian −25</t>
        </is>
      </c>
    </row>
    <row r="18"/>
    <row r="19">
      <c r="A19" s="9" t="inlineStr">
        <is>
          <t>Матрица рычагов vs feel</t>
        </is>
      </c>
    </row>
    <row r="20">
      <c r="A20" s="4" t="inlineStr">
        <is>
          <t>Phase</t>
        </is>
      </c>
      <c r="B20" s="4" t="inlineStr">
        <is>
          <t>Feel</t>
        </is>
      </c>
      <c r="C20" s="4" t="inlineStr">
        <is>
          <t>Offer pressure</t>
        </is>
      </c>
      <c r="D20" s="4" t="inlineStr">
        <is>
          <t>Worker deficit</t>
        </is>
      </c>
      <c r="E20" s="4" t="inlineStr">
        <is>
          <t>Prod modifier</t>
        </is>
      </c>
      <c r="F20" s="4" t="inlineStr">
        <is>
          <t>Early unlock bait</t>
        </is>
      </c>
    </row>
    <row r="21">
      <c r="A21" s="5" t="n">
        <v>0</v>
      </c>
      <c r="B21" s="5" t="inlineStr">
        <is>
          <t>легко</t>
        </is>
      </c>
      <c r="C21" s="6" t="inlineStr">
        <is>
          <t>низкий</t>
        </is>
      </c>
      <c r="D21" s="6" t="inlineStr">
        <is>
          <t>слабый</t>
        </is>
      </c>
      <c r="E21" s="6" t="inlineStr">
        <is>
          <t>0</t>
        </is>
      </c>
      <c r="F21" s="6" t="inlineStr">
        <is>
          <t>Farm unlock заранее</t>
        </is>
      </c>
    </row>
    <row r="22">
      <c r="A22" s="5" t="n">
        <v>1</v>
      </c>
      <c r="B22" s="5" t="inlineStr">
        <is>
          <t>средне</t>
        </is>
      </c>
      <c r="C22" s="6" t="inlineStr">
        <is>
          <t>средний</t>
        </is>
      </c>
      <c r="D22" s="6" t="inlineStr">
        <is>
          <t>средний</t>
        </is>
      </c>
      <c r="E22" s="6" t="inlineStr">
        <is>
          <t>0..−10</t>
        </is>
      </c>
      <c r="F22" s="6" t="inlineStr">
        <is>
          <t>Obsidian unlock</t>
        </is>
      </c>
    </row>
    <row r="23">
      <c r="A23" s="5" t="n">
        <v>2</v>
      </c>
      <c r="B23" s="5" t="inlineStr">
        <is>
          <t>сложнее</t>
        </is>
      </c>
      <c r="C23" s="6" t="inlineStr">
        <is>
          <t>высокий corn</t>
        </is>
      </c>
      <c r="D23" s="6" t="inlineStr">
        <is>
          <t>средний</t>
        </is>
      </c>
      <c r="E23" s="6" t="inlineStr">
        <is>
          <t>−20 Corn</t>
        </is>
      </c>
      <c r="F23" s="6" t="inlineStr">
        <is>
          <t>сток water/wood</t>
        </is>
      </c>
    </row>
    <row r="24">
      <c r="A24" s="5" t="n">
        <v>3</v>
      </c>
      <c r="B24" s="5" t="inlineStr">
        <is>
          <t>сложно</t>
        </is>
      </c>
      <c r="C24" s="6" t="inlineStr">
        <is>
          <t>средний count</t>
        </is>
      </c>
      <c r="D24" s="6" t="inlineStr">
        <is>
          <t>СИЛЬНЫЙ (3w)</t>
        </is>
      </c>
      <c r="E24" s="6" t="inlineStr">
        <is>
          <t>−15 Obsidian</t>
        </is>
      </c>
      <c r="F24" s="6" t="inlineStr">
        <is>
          <t>—</t>
        </is>
      </c>
    </row>
    <row r="25">
      <c r="A25" s="5" t="n">
        <v>4</v>
      </c>
      <c r="B25" s="5" t="inlineStr">
        <is>
          <t>предел</t>
        </is>
      </c>
      <c r="C25" s="6" t="inlineStr">
        <is>
          <t>тройной оффер</t>
        </is>
      </c>
      <c r="D25" s="6" t="inlineStr">
        <is>
          <t>СИЛЬНЫЙ</t>
        </is>
      </c>
      <c r="E25" s="6" t="inlineStr">
        <is>
          <t>−10 All</t>
        </is>
      </c>
      <c r="F25" s="6" t="inlineStr">
        <is>
          <t>нельзя покрыть всё</t>
        </is>
      </c>
    </row>
    <row r="26">
      <c r="A26" s="5" t="n">
        <v>5</v>
      </c>
      <c r="B26" s="5" t="inlineStr">
        <is>
          <t>передышка</t>
        </is>
      </c>
      <c r="C26" s="6" t="inlineStr">
        <is>
          <t>низкий/обучающий</t>
        </is>
      </c>
      <c r="D26" s="6" t="inlineStr">
        <is>
          <t>слабее</t>
        </is>
      </c>
      <c r="E26" s="6" t="inlineStr">
        <is>
          <t>+5..+10</t>
        </is>
      </c>
      <c r="F26" s="6" t="inlineStr">
        <is>
          <t>Altar unlock здесь!</t>
        </is>
      </c>
    </row>
    <row r="27">
      <c r="A27" s="5" t="n">
        <v>6</v>
      </c>
      <c r="B27" s="5" t="inlineStr">
        <is>
          <t>сложно</t>
        </is>
      </c>
      <c r="C27" s="6" t="inlineStr">
        <is>
          <t>двойной</t>
        </is>
      </c>
      <c r="D27" s="6" t="inlineStr">
        <is>
          <t>сильный</t>
        </is>
      </c>
      <c r="E27" s="6" t="inlineStr">
        <is>
          <t>−10..−20</t>
        </is>
      </c>
      <c r="F27" s="6" t="inlineStr">
        <is>
          <t>подготовка к 7</t>
        </is>
      </c>
    </row>
    <row r="28">
      <c r="A28" s="5" t="n">
        <v>7</v>
      </c>
      <c r="B28" s="5" t="inlineStr">
        <is>
          <t>очень сложно</t>
        </is>
      </c>
      <c r="C28" s="6" t="inlineStr">
        <is>
          <t>высокий + landing</t>
        </is>
      </c>
      <c r="D28" s="6" t="inlineStr">
        <is>
          <t>макс</t>
        </is>
      </c>
      <c r="E28" s="6" t="inlineStr">
        <is>
          <t>−15 All</t>
        </is>
      </c>
      <c r="F28" s="6" t="inlineStr">
        <is>
          <t>тютелька 5..15</t>
        </is>
      </c>
    </row>
    <row r="29"/>
    <row r="30"/>
    <row r="31">
      <c r="A31" s="9" t="inlineStr">
        <is>
          <t>Связь с 04_Phase_Lab</t>
        </is>
      </c>
    </row>
    <row r="32">
      <c r="A32" t="inlineStr">
        <is>
          <t>TimeCostEach_effective = TimeCostEach_base × (1 / (1+SpeedPct/100))</t>
        </is>
      </c>
    </row>
    <row r="33">
      <c r="A33" t="inlineStr">
        <is>
          <t>Пример фазы 2: Corn base 9с chain, −20% → 9/0.8 = 11.25с × 12 count = 135с wall &gt; duration 90 → нужен сток/работники.</t>
        </is>
      </c>
    </row>
    <row r="34"/>
    <row r="35">
      <c r="A35" s="10" t="inlineStr">
        <is>
          <t>TODO код: PhaseDefinition.productionModifiers[] { resource|building, speedMul } + apply in ProductionBuilding tick.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5" customWidth="1" min="4" max="4"/>
    <col width="14" customWidth="1" min="5" max="5"/>
    <col width="20" customWidth="1" min="6" max="6"/>
    <col width="15" customWidth="1" min="7" max="7"/>
  </cols>
  <sheetData>
    <row r="1">
      <c r="A1" s="1" t="inlineStr">
        <is>
          <t>PHASE LAB — балансируй ОДНУ фазу</t>
        </is>
      </c>
    </row>
    <row r="2"/>
    <row r="3">
      <c r="A3" t="inlineStr">
        <is>
          <t>ActivePhase (0..7)</t>
        </is>
      </c>
      <c r="B3" s="6" t="n">
        <v>0</v>
      </c>
      <c r="C3" t="inlineStr">
        <is>
          <t>← меняй; цифры из 02_Phases + modifiers из 03b</t>
        </is>
      </c>
    </row>
    <row r="4"/>
    <row r="5">
      <c r="A5" s="11" t="inlineStr">
        <is>
          <t>PHASE PARAMS</t>
        </is>
      </c>
    </row>
    <row r="6">
      <c r="A6" t="inlineStr">
        <is>
          <t>Title</t>
        </is>
      </c>
      <c r="B6" s="6" t="inlineStr">
        <is>
          <t>Dawn Offering</t>
        </is>
      </c>
    </row>
    <row r="7">
      <c r="A7" t="inlineStr">
        <is>
          <t>TargetFeel</t>
        </is>
      </c>
      <c r="B7" s="6" t="inlineStr">
        <is>
          <t>легко</t>
        </is>
      </c>
      <c r="C7" t="inlineStr">
        <is>
          <t>0 легко / 1 средне / 2 сложнее / 3 сложно / 4 предел / 5 передышка / 6 сложно / 7 очень сложно</t>
        </is>
      </c>
    </row>
    <row r="8">
      <c r="A8" t="inlineStr">
        <is>
          <t>DurationSec</t>
        </is>
      </c>
      <c r="B8" s="6" t="n">
        <v>60</v>
      </c>
    </row>
    <row r="9">
      <c r="A9" t="inlineStr">
        <is>
          <t>TimerStart (cheat/carry)</t>
        </is>
      </c>
      <c r="B9" s="6" t="n">
        <v>99</v>
      </c>
    </row>
    <row r="10">
      <c r="A10" t="inlineStr">
        <is>
          <t>WrongPenalty</t>
        </is>
      </c>
      <c r="B10" s="6" t="n">
        <v>-1</v>
      </c>
    </row>
    <row r="11">
      <c r="A11" t="inlineStr">
        <is>
          <t>ProdSpeedPct (modifier)</t>
        </is>
      </c>
      <c r="B11" s="6" t="n">
        <v>0</v>
      </c>
      <c r="C11" t="inlineStr">
        <is>
          <t>−20 = на 20% медленнее. EffectiveSec = Base/(1+pct/100)</t>
        </is>
      </c>
    </row>
    <row r="12"/>
    <row r="13">
      <c r="A13" s="11" t="inlineStr">
        <is>
          <t>OFFER</t>
        </is>
      </c>
    </row>
    <row r="14">
      <c r="A14" s="4" t="inlineStr">
        <is>
          <t>Res</t>
        </is>
      </c>
      <c r="B14" s="4" t="inlineStr">
        <is>
          <t>Count</t>
        </is>
      </c>
      <c r="C14" s="4" t="inlineStr">
        <is>
          <t>SecReward</t>
        </is>
      </c>
      <c r="D14" s="4" t="inlineStr">
        <is>
          <t>Gain</t>
        </is>
      </c>
      <c r="E14" s="4" t="inlineStr">
        <is>
          <t>TimeCostBase</t>
        </is>
      </c>
      <c r="F14" s="4" t="inlineStr">
        <is>
          <t>TimeCostEff</t>
        </is>
      </c>
      <c r="G14" s="4" t="inlineStr">
        <is>
          <t>WallTimeNeed</t>
        </is>
      </c>
    </row>
    <row r="15">
      <c r="A15" s="6" t="inlineStr">
        <is>
          <t>Corn</t>
        </is>
      </c>
      <c r="B15" s="6" t="n">
        <v>6</v>
      </c>
      <c r="C15" s="6" t="n">
        <v>8</v>
      </c>
      <c r="D15" s="7">
        <f>B15*C15</f>
        <v/>
      </c>
      <c r="E15" s="6" t="n">
        <v>9</v>
      </c>
      <c r="F15" s="7">
        <f>E15/(1+$B$11/100)</f>
        <v/>
      </c>
      <c r="G15" s="7">
        <f>B15*F15</f>
        <v/>
      </c>
    </row>
    <row r="16">
      <c r="A16" s="6" t="inlineStr"/>
      <c r="B16" s="6" t="n">
        <v>0</v>
      </c>
      <c r="C16" s="6" t="n">
        <v>0</v>
      </c>
      <c r="D16" s="7">
        <f>B16*C16</f>
        <v/>
      </c>
      <c r="E16" s="6" t="n">
        <v>0</v>
      </c>
      <c r="F16" s="7">
        <f>E16/(1+$B$11/100)</f>
        <v/>
      </c>
      <c r="G16" s="7">
        <f>B16*F16</f>
        <v/>
      </c>
    </row>
    <row r="17">
      <c r="A17" s="6" t="inlineStr"/>
      <c r="B17" s="6" t="n">
        <v>0</v>
      </c>
      <c r="C17" s="6" t="n">
        <v>0</v>
      </c>
      <c r="D17" s="7">
        <f>B17*C17</f>
        <v/>
      </c>
      <c r="E17" s="6" t="n">
        <v>0</v>
      </c>
      <c r="F17" s="7">
        <f>E17/(1+$B$11/100)</f>
        <v/>
      </c>
      <c r="G17" s="7">
        <f>B17*F17</f>
        <v/>
      </c>
    </row>
    <row r="18">
      <c r="A18" t="inlineStr">
        <is>
          <t>Totals</t>
        </is>
      </c>
      <c r="D18" s="7">
        <f>SUM(D15:D17)</f>
        <v/>
      </c>
      <c r="G18" s="7">
        <f>SUM(G15:G17)</f>
        <v/>
      </c>
    </row>
    <row r="19">
      <c r="A19" t="inlineStr">
        <is>
          <t>Slack (Duration − WallNeed)</t>
        </is>
      </c>
      <c r="B19" s="7">
        <f>B8-G18</f>
        <v/>
      </c>
      <c r="C19" t="inlineStr">
        <is>
          <t>сверь с SlackTarget для Feel (02_Phases). Modifier жмёт Slack без резки оффера.</t>
        </is>
      </c>
    </row>
    <row r="20"/>
    <row r="21">
      <c r="A21" s="11" t="inlineStr">
        <is>
          <t>START STATE</t>
        </is>
      </c>
      <c r="D21" s="11" t="inlineStr">
        <is>
          <t>BUILDINGS</t>
        </is>
      </c>
    </row>
    <row r="22">
      <c r="A22" s="12" t="inlineStr">
        <is>
          <t>Resource</t>
        </is>
      </c>
      <c r="B22" s="12" t="inlineStr">
        <is>
          <t>Count</t>
        </is>
      </c>
      <c r="D22" s="12" t="inlineStr">
        <is>
          <t>Building</t>
        </is>
      </c>
      <c r="E22" s="12" t="inlineStr">
        <is>
          <t>Built(0/1)</t>
        </is>
      </c>
      <c r="F22" s="12" t="inlineStr">
        <is>
          <t>Workers</t>
        </is>
      </c>
    </row>
    <row r="23">
      <c r="A23" t="inlineStr">
        <is>
          <t>Villager</t>
        </is>
      </c>
      <c r="B23" s="6" t="n">
        <v>1</v>
      </c>
      <c r="D23" t="inlineStr">
        <is>
          <t>Home</t>
        </is>
      </c>
      <c r="E23" s="6" t="n">
        <v>1</v>
      </c>
      <c r="F23" s="6" t="n">
        <v>0</v>
      </c>
    </row>
    <row r="24">
      <c r="A24" t="inlineStr">
        <is>
          <t>Corn</t>
        </is>
      </c>
      <c r="B24" s="6" t="n">
        <v>0</v>
      </c>
      <c r="D24" t="inlineStr">
        <is>
          <t>Well</t>
        </is>
      </c>
      <c r="E24" s="6" t="n">
        <v>1</v>
      </c>
      <c r="F24" s="6" t="n">
        <v>0</v>
      </c>
    </row>
    <row r="25">
      <c r="A25" t="inlineStr">
        <is>
          <t>Wood</t>
        </is>
      </c>
      <c r="B25" s="6" t="n">
        <v>0</v>
      </c>
      <c r="D25" t="inlineStr">
        <is>
          <t>Lumber</t>
        </is>
      </c>
      <c r="E25" s="6" t="n">
        <v>1</v>
      </c>
      <c r="F25" s="6" t="n">
        <v>0</v>
      </c>
    </row>
    <row r="26">
      <c r="A26" t="inlineStr">
        <is>
          <t>Stone</t>
        </is>
      </c>
      <c r="B26" s="6" t="n">
        <v>0</v>
      </c>
      <c r="D26" t="inlineStr">
        <is>
          <t>Farm</t>
        </is>
      </c>
      <c r="E26" s="6" t="n">
        <v>0</v>
      </c>
      <c r="F26" s="6" t="n">
        <v>0</v>
      </c>
    </row>
    <row r="27">
      <c r="A27" t="inlineStr">
        <is>
          <t>Water</t>
        </is>
      </c>
      <c r="B27" s="6" t="n">
        <v>0</v>
      </c>
      <c r="D27" t="inlineStr">
        <is>
          <t>Altar</t>
        </is>
      </c>
      <c r="E27" s="6" t="n">
        <v>0</v>
      </c>
      <c r="F27" s="6" t="n">
        <v>0</v>
      </c>
    </row>
    <row r="28">
      <c r="A28" t="inlineStr">
        <is>
          <t>Obsidian</t>
        </is>
      </c>
      <c r="B28" s="6" t="n">
        <v>0</v>
      </c>
      <c r="D28" t="inlineStr">
        <is>
          <t>Obsidian</t>
        </is>
      </c>
      <c r="E28" s="6" t="n">
        <v>0</v>
      </c>
      <c r="F28" s="6" t="n">
        <v>0</v>
      </c>
    </row>
    <row r="29">
      <c r="A29" t="inlineStr">
        <is>
          <t>Blood</t>
        </is>
      </c>
      <c r="B29" s="6" t="n">
        <v>0</v>
      </c>
    </row>
    <row r="30"/>
    <row r="31">
      <c r="A31" s="11" t="inlineStr">
        <is>
          <t>PLAYTEST OUTCOME</t>
        </is>
      </c>
    </row>
    <row r="32">
      <c r="A32" t="inlineStr">
        <is>
          <t>OfferCompleted?</t>
        </is>
      </c>
      <c r="B32" s="6" t="inlineStr">
        <is>
          <t>yes/no</t>
        </is>
      </c>
    </row>
    <row r="33">
      <c r="A33" t="inlineStr">
        <is>
          <t>Felt vs TargetFeel?</t>
        </is>
      </c>
      <c r="B33" s="6" t="inlineStr">
        <is>
          <t>match / easier / harder</t>
        </is>
      </c>
    </row>
    <row r="34">
      <c r="A34" t="inlineStr">
        <is>
          <t>SecondsLeftOnOffer</t>
        </is>
      </c>
      <c r="B34" s="6" t="n">
        <v>0</v>
      </c>
    </row>
    <row r="35">
      <c r="A35" t="inlineStr">
        <is>
          <t>TimerAtPhaseEnd</t>
        </is>
      </c>
      <c r="B35" s="6" t="n">
        <v>0</v>
      </c>
    </row>
    <row r="36">
      <c r="A36" t="inlineStr">
        <is>
          <t>FeltStress (1-5)</t>
        </is>
      </c>
      <c r="B36" s="6" t="n">
        <v>3</v>
      </c>
    </row>
    <row r="37">
      <c r="A37" t="inlineStr">
        <is>
          <t>HadToReassignWorkers?</t>
        </is>
      </c>
      <c r="B37" s="6" t="inlineStr">
        <is>
          <t>yes/no</t>
        </is>
      </c>
    </row>
    <row r="38">
      <c r="A38" t="inlineStr">
        <is>
          <t>ModifierFelt?</t>
        </is>
      </c>
      <c r="B38" s="6" t="inlineStr">
        <is>
          <t>yes/no/n/a</t>
        </is>
      </c>
    </row>
    <row r="39">
      <c r="A39" t="inlineStr">
        <is>
          <t>BottleneckResource</t>
        </is>
      </c>
      <c r="B39" s="6" t="inlineStr"/>
    </row>
    <row r="40">
      <c r="A40" t="inlineStr">
        <is>
          <t>Notes</t>
        </is>
      </c>
      <c r="B40" s="6" t="inlineStr"/>
    </row>
    <row r="41"/>
    <row r="42">
      <c r="A42" t="inlineStr">
        <is>
          <t>Timer after perfect offer</t>
        </is>
      </c>
      <c r="B42" s="7">
        <f>B9+D18-B8</f>
        <v/>
      </c>
      <c r="C42" t="inlineStr">
        <is>
          <t>TimerStart + MaxGain − Duration</t>
        </is>
      </c>
    </row>
    <row r="43"/>
    <row r="44">
      <c r="A44" t="inlineStr">
        <is>
          <t>Если Feel не попал</t>
        </is>
      </c>
    </row>
    <row r="45">
      <c r="A45" t="inlineStr">
        <is>
          <t>Слишком легко</t>
        </is>
      </c>
      <c r="B45" t="inlineStr">
        <is>
          <t>↑ count / ↓ reward? нет — лучше −SpeedPct или сильнее дефицит людей</t>
        </is>
      </c>
    </row>
    <row r="46">
      <c r="A46" t="inlineStr">
        <is>
          <t>Слишком сложно</t>
        </is>
      </c>
      <c r="B46" t="inlineStr">
        <is>
          <t>сначала убери −modifier, потом ↓ count / дай сток в Carryover</t>
        </is>
      </c>
    </row>
    <row r="47">
      <c r="A47" t="inlineStr">
        <is>
          <t>Фаза 5 должна ощущаться ЛЕГЧЕ фазы 4 — иначе сломай контраст перед 6–7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6" customWidth="1" min="5" max="5"/>
    <col width="14" customWidth="1" min="6" max="6"/>
    <col width="11" customWidth="1" min="7" max="7"/>
    <col width="9" customWidth="1" min="8" max="8"/>
    <col width="11" customWidth="1" min="9" max="9"/>
    <col width="9" customWidth="1" min="10" max="10"/>
    <col width="12" customWidth="1" min="11" max="11"/>
    <col width="10" customWidth="1" min="12" max="12"/>
    <col width="12" customWidth="1" min="13" max="13"/>
    <col width="10" customWidth="1" min="14" max="14"/>
    <col width="15" customWidth="1" min="15" max="15"/>
    <col width="13" customWidth="1" min="16" max="16"/>
    <col width="12" customWidth="1" min="17" max="17"/>
    <col width="10" customWidth="1" min="18" max="18"/>
    <col width="28" customWidth="1" min="19" max="19"/>
    <col width="12" customWidth="1" min="20" max="20"/>
    <col width="8" customWidth="1" min="21" max="21"/>
  </cols>
  <sheetData>
    <row r="1">
      <c r="A1" s="1" t="inlineStr">
        <is>
          <t>CARRYOVER — OUTCOME N → START N+1</t>
        </is>
      </c>
    </row>
    <row r="2">
      <c r="A2" t="inlineStr">
        <is>
          <t>Заполняй End_* после плейтеста. Start_* фазы N&gt;0 = End_* предыдущей (формула).</t>
        </is>
      </c>
    </row>
    <row r="3">
      <c r="A3" t="inlineStr">
        <is>
          <t>Потом обнови CheatPanelConfig.phaseLoadouts под реалистичный Start.</t>
        </is>
      </c>
    </row>
    <row r="4"/>
    <row r="5">
      <c r="A5" s="4" t="inlineStr">
        <is>
          <t>Phase</t>
        </is>
      </c>
      <c r="B5" s="4" t="inlineStr">
        <is>
          <t>Title</t>
        </is>
      </c>
      <c r="C5" s="4" t="inlineStr">
        <is>
          <t>StartTimer</t>
        </is>
      </c>
      <c r="D5" s="4" t="inlineStr">
        <is>
          <t>EndTimer</t>
        </is>
      </c>
      <c r="E5" s="4" t="inlineStr">
        <is>
          <t>StartVillagers</t>
        </is>
      </c>
      <c r="F5" s="4" t="inlineStr">
        <is>
          <t>EndVillagers</t>
        </is>
      </c>
      <c r="G5" s="4" t="inlineStr">
        <is>
          <t>StartCorn</t>
        </is>
      </c>
      <c r="H5" s="4" t="inlineStr">
        <is>
          <t>EndCorn</t>
        </is>
      </c>
      <c r="I5" s="4" t="inlineStr">
        <is>
          <t>StartWood</t>
        </is>
      </c>
      <c r="J5" s="4" t="inlineStr">
        <is>
          <t>EndWood</t>
        </is>
      </c>
      <c r="K5" s="4" t="inlineStr">
        <is>
          <t>StartStone</t>
        </is>
      </c>
      <c r="L5" s="4" t="inlineStr">
        <is>
          <t>EndStone</t>
        </is>
      </c>
      <c r="M5" s="4" t="inlineStr">
        <is>
          <t>StartWater</t>
        </is>
      </c>
      <c r="N5" s="4" t="inlineStr">
        <is>
          <t>EndWater</t>
        </is>
      </c>
      <c r="O5" s="4" t="inlineStr">
        <is>
          <t>StartObsidian</t>
        </is>
      </c>
      <c r="P5" s="4" t="inlineStr">
        <is>
          <t>EndObsidian</t>
        </is>
      </c>
      <c r="Q5" s="4" t="inlineStr">
        <is>
          <t>StartBlood</t>
        </is>
      </c>
      <c r="R5" s="4" t="inlineStr">
        <is>
          <t>EndBlood</t>
        </is>
      </c>
      <c r="S5" s="4" t="inlineStr">
        <is>
          <t>BuildingsSnapshot</t>
        </is>
      </c>
      <c r="T5" s="4" t="inlineStr">
        <is>
          <t>Stress1to5</t>
        </is>
      </c>
      <c r="U5" s="4" t="inlineStr">
        <is>
          <t>OK?</t>
        </is>
      </c>
    </row>
    <row r="6">
      <c r="A6" s="5" t="n">
        <v>0</v>
      </c>
      <c r="B6" s="5" t="inlineStr">
        <is>
          <t>Dawn Offering</t>
        </is>
      </c>
      <c r="C6" s="6" t="n">
        <v>99</v>
      </c>
      <c r="D6" s="6" t="n"/>
      <c r="E6" s="6" t="n">
        <v>1</v>
      </c>
      <c r="F6" s="6" t="n"/>
      <c r="G6" s="6" t="n">
        <v>0</v>
      </c>
      <c r="H6" s="6" t="n"/>
      <c r="I6" s="6" t="n">
        <v>0</v>
      </c>
      <c r="J6" s="6" t="n"/>
      <c r="K6" s="6" t="n">
        <v>0</v>
      </c>
      <c r="L6" s="6" t="n"/>
      <c r="M6" s="6" t="n">
        <v>0</v>
      </c>
      <c r="N6" s="6" t="n"/>
      <c r="O6" s="6" t="n">
        <v>0</v>
      </c>
      <c r="P6" s="6" t="n"/>
      <c r="Q6" s="6" t="n">
        <v>0</v>
      </c>
      <c r="R6" s="6" t="n"/>
      <c r="S6" s="6" t="inlineStr">
        <is>
          <t>Home,Well,Lumber</t>
        </is>
      </c>
      <c r="T6" s="6" t="n"/>
      <c r="U6" s="6" t="n"/>
    </row>
    <row r="7">
      <c r="A7" s="5" t="n">
        <v>1</v>
      </c>
      <c r="B7" s="5" t="inlineStr">
        <is>
          <t>Stone &amp; Timber</t>
        </is>
      </c>
      <c r="C7" s="7">
        <f>D6</f>
        <v/>
      </c>
      <c r="D7" s="6" t="n"/>
      <c r="E7" s="7">
        <f>F6</f>
        <v/>
      </c>
      <c r="F7" s="6" t="n"/>
      <c r="G7" s="7">
        <f>H6</f>
        <v/>
      </c>
      <c r="H7" s="6" t="n"/>
      <c r="I7" s="7">
        <f>J6</f>
        <v/>
      </c>
      <c r="J7" s="6" t="n"/>
      <c r="K7" s="7">
        <f>L6</f>
        <v/>
      </c>
      <c r="L7" s="6" t="n"/>
      <c r="M7" s="7">
        <f>N6</f>
        <v/>
      </c>
      <c r="N7" s="6" t="n"/>
      <c r="O7" s="7">
        <f>P6</f>
        <v/>
      </c>
      <c r="P7" s="6" t="n"/>
      <c r="Q7" s="7">
        <f>R6</f>
        <v/>
      </c>
      <c r="R7" s="6" t="n"/>
      <c r="S7" s="6" t="inlineStr">
        <is>
          <t>Home,Well,Lumber</t>
        </is>
      </c>
      <c r="T7" s="6" t="n"/>
      <c r="U7" s="6" t="n"/>
    </row>
    <row r="8">
      <c r="A8" s="5" t="n">
        <v>2</v>
      </c>
      <c r="B8" s="5" t="inlineStr">
        <is>
          <t>Harvest Pressure</t>
        </is>
      </c>
      <c r="C8" s="7">
        <f>D7</f>
        <v/>
      </c>
      <c r="D8" s="6" t="n"/>
      <c r="E8" s="7">
        <f>F7</f>
        <v/>
      </c>
      <c r="F8" s="6" t="n"/>
      <c r="G8" s="7">
        <f>H7</f>
        <v/>
      </c>
      <c r="H8" s="6" t="n"/>
      <c r="I8" s="7">
        <f>J7</f>
        <v/>
      </c>
      <c r="J8" s="6" t="n"/>
      <c r="K8" s="7">
        <f>L7</f>
        <v/>
      </c>
      <c r="L8" s="6" t="n"/>
      <c r="M8" s="7">
        <f>N7</f>
        <v/>
      </c>
      <c r="N8" s="6" t="n"/>
      <c r="O8" s="7">
        <f>P7</f>
        <v/>
      </c>
      <c r="P8" s="6" t="n"/>
      <c r="Q8" s="7">
        <f>R7</f>
        <v/>
      </c>
      <c r="R8" s="6" t="n"/>
      <c r="S8" s="6" t="inlineStr">
        <is>
          <t>Home,Well,Lumber</t>
        </is>
      </c>
      <c r="T8" s="6" t="n"/>
      <c r="U8" s="6" t="n"/>
    </row>
    <row r="9">
      <c r="A9" s="5" t="n">
        <v>3</v>
      </c>
      <c r="B9" s="5" t="inlineStr">
        <is>
          <t>Obsidian Idols</t>
        </is>
      </c>
      <c r="C9" s="7">
        <f>D8</f>
        <v/>
      </c>
      <c r="D9" s="6" t="n"/>
      <c r="E9" s="7">
        <f>F8</f>
        <v/>
      </c>
      <c r="F9" s="6" t="n"/>
      <c r="G9" s="7">
        <f>H8</f>
        <v/>
      </c>
      <c r="H9" s="6" t="n"/>
      <c r="I9" s="7">
        <f>J8</f>
        <v/>
      </c>
      <c r="J9" s="6" t="n"/>
      <c r="K9" s="7">
        <f>L8</f>
        <v/>
      </c>
      <c r="L9" s="6" t="n"/>
      <c r="M9" s="7">
        <f>N8</f>
        <v/>
      </c>
      <c r="N9" s="6" t="n"/>
      <c r="O9" s="7">
        <f>P8</f>
        <v/>
      </c>
      <c r="P9" s="6" t="n"/>
      <c r="Q9" s="7">
        <f>R8</f>
        <v/>
      </c>
      <c r="R9" s="6" t="n"/>
      <c r="S9" s="6" t="inlineStr">
        <is>
          <t>Home,Well,Lumber</t>
        </is>
      </c>
      <c r="T9" s="6" t="n"/>
      <c r="U9" s="6" t="n"/>
    </row>
    <row r="10">
      <c r="A10" s="5" t="n">
        <v>4</v>
      </c>
      <c r="B10" s="5" t="inlineStr">
        <is>
          <t>Mixed Tribute</t>
        </is>
      </c>
      <c r="C10" s="7">
        <f>D9</f>
        <v/>
      </c>
      <c r="D10" s="6" t="n"/>
      <c r="E10" s="7">
        <f>F9</f>
        <v/>
      </c>
      <c r="F10" s="6" t="n"/>
      <c r="G10" s="7">
        <f>H9</f>
        <v/>
      </c>
      <c r="H10" s="6" t="n"/>
      <c r="I10" s="7">
        <f>J9</f>
        <v/>
      </c>
      <c r="J10" s="6" t="n"/>
      <c r="K10" s="7">
        <f>L9</f>
        <v/>
      </c>
      <c r="L10" s="6" t="n"/>
      <c r="M10" s="7">
        <f>N9</f>
        <v/>
      </c>
      <c r="N10" s="6" t="n"/>
      <c r="O10" s="7">
        <f>P9</f>
        <v/>
      </c>
      <c r="P10" s="6" t="n"/>
      <c r="Q10" s="7">
        <f>R9</f>
        <v/>
      </c>
      <c r="R10" s="6" t="n"/>
      <c r="S10" s="6" t="inlineStr">
        <is>
          <t>Home,Well,Lumber</t>
        </is>
      </c>
      <c r="T10" s="6" t="n"/>
      <c r="U10" s="6" t="n"/>
    </row>
    <row r="11">
      <c r="A11" s="5" t="n">
        <v>5</v>
      </c>
      <c r="B11" s="5" t="inlineStr">
        <is>
          <t>First Blood</t>
        </is>
      </c>
      <c r="C11" s="7">
        <f>D10</f>
        <v/>
      </c>
      <c r="D11" s="6" t="n"/>
      <c r="E11" s="7">
        <f>F10</f>
        <v/>
      </c>
      <c r="F11" s="6" t="n"/>
      <c r="G11" s="7">
        <f>H10</f>
        <v/>
      </c>
      <c r="H11" s="6" t="n"/>
      <c r="I11" s="7">
        <f>J10</f>
        <v/>
      </c>
      <c r="J11" s="6" t="n"/>
      <c r="K11" s="7">
        <f>L10</f>
        <v/>
      </c>
      <c r="L11" s="6" t="n"/>
      <c r="M11" s="7">
        <f>N10</f>
        <v/>
      </c>
      <c r="N11" s="6" t="n"/>
      <c r="O11" s="7">
        <f>P10</f>
        <v/>
      </c>
      <c r="P11" s="6" t="n"/>
      <c r="Q11" s="7">
        <f>R10</f>
        <v/>
      </c>
      <c r="R11" s="6" t="n"/>
      <c r="S11" s="6" t="inlineStr">
        <is>
          <t>Home,Well,Lumber</t>
        </is>
      </c>
      <c r="T11" s="6" t="n"/>
      <c r="U11" s="6" t="n"/>
    </row>
    <row r="12">
      <c r="A12" s="5" t="n">
        <v>6</v>
      </c>
      <c r="B12" s="5" t="inlineStr">
        <is>
          <t>Twin Demands</t>
        </is>
      </c>
      <c r="C12" s="7">
        <f>D11</f>
        <v/>
      </c>
      <c r="D12" s="6" t="n"/>
      <c r="E12" s="7">
        <f>F11</f>
        <v/>
      </c>
      <c r="F12" s="6" t="n"/>
      <c r="G12" s="7">
        <f>H11</f>
        <v/>
      </c>
      <c r="H12" s="6" t="n"/>
      <c r="I12" s="7">
        <f>J11</f>
        <v/>
      </c>
      <c r="J12" s="6" t="n"/>
      <c r="K12" s="7">
        <f>L11</f>
        <v/>
      </c>
      <c r="L12" s="6" t="n"/>
      <c r="M12" s="7">
        <f>N11</f>
        <v/>
      </c>
      <c r="N12" s="6" t="n"/>
      <c r="O12" s="7">
        <f>P11</f>
        <v/>
      </c>
      <c r="P12" s="6" t="n"/>
      <c r="Q12" s="7">
        <f>R11</f>
        <v/>
      </c>
      <c r="R12" s="6" t="n"/>
      <c r="S12" s="6" t="inlineStr">
        <is>
          <t>Home,Well,Lumber</t>
        </is>
      </c>
      <c r="T12" s="6" t="n"/>
      <c r="U12" s="6" t="n"/>
    </row>
    <row r="13">
      <c r="A13" s="5" t="n">
        <v>7</v>
      </c>
      <c r="B13" s="5" t="inlineStr">
        <is>
          <t>Final Propitiation</t>
        </is>
      </c>
      <c r="C13" s="7">
        <f>D12</f>
        <v/>
      </c>
      <c r="D13" s="6" t="n"/>
      <c r="E13" s="7">
        <f>F12</f>
        <v/>
      </c>
      <c r="F13" s="6" t="n"/>
      <c r="G13" s="7">
        <f>H12</f>
        <v/>
      </c>
      <c r="H13" s="6" t="n"/>
      <c r="I13" s="7">
        <f>J12</f>
        <v/>
      </c>
      <c r="J13" s="6" t="n"/>
      <c r="K13" s="7">
        <f>L12</f>
        <v/>
      </c>
      <c r="L13" s="6" t="n"/>
      <c r="M13" s="7">
        <f>N12</f>
        <v/>
      </c>
      <c r="N13" s="6" t="n"/>
      <c r="O13" s="7">
        <f>P12</f>
        <v/>
      </c>
      <c r="P13" s="6" t="n"/>
      <c r="Q13" s="7">
        <f>R12</f>
        <v/>
      </c>
      <c r="R13" s="6" t="n"/>
      <c r="S13" s="6" t="inlineStr">
        <is>
          <t>Home,Well,Lumber</t>
        </is>
      </c>
      <c r="T13" s="6" t="n"/>
      <c r="U13" s="6" t="n"/>
    </row>
    <row r="14"/>
    <row r="15">
      <c r="A15" t="inlineStr">
        <is>
          <t>Как работать с чит-панелью</t>
        </is>
      </c>
    </row>
    <row r="16">
      <c r="A16" t="inlineStr">
        <is>
          <t>1) Jump to phase N с loadout ≈ Start_*</t>
        </is>
      </c>
    </row>
    <row r="17">
      <c r="A17" t="inlineStr">
        <is>
          <t>2) Сыграй фазу</t>
        </is>
      </c>
    </row>
    <row r="18">
      <c r="A18" t="inlineStr">
        <is>
          <t>3) Запиши End_* → авто-Start для N+1</t>
        </is>
      </c>
    </row>
    <row r="19">
      <c r="A19" t="inlineStr">
        <is>
          <t>4) Синхронизируй CheatPanelConfig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4" customWidth="1" min="4" max="4"/>
    <col width="44" customWidth="1" min="5" max="5"/>
    <col width="43" customWidth="1" min="6" max="6"/>
  </cols>
  <sheetData>
    <row r="1">
      <c r="A1" s="1" t="inlineStr">
        <is>
          <t>FINAL LANDING — после последнего дара остаток таймера 5..15 сек</t>
        </is>
      </c>
    </row>
    <row r="2"/>
    <row r="3">
      <c r="A3" t="inlineStr">
        <is>
          <t>Цель</t>
        </is>
      </c>
      <c r="B3" t="inlineStr">
        <is>
          <t>Закрыл финальный оффер → на doomsday timer остаётся 5–15с. Не 0 и не 40+.</t>
        </is>
      </c>
    </row>
    <row r="4"/>
    <row r="5">
      <c r="A5" s="11" t="inlineStr">
        <is>
          <t>INPUTS</t>
        </is>
      </c>
    </row>
    <row r="6">
      <c r="A6" t="inlineStr">
        <is>
          <t>Timer at START of phase 7</t>
        </is>
      </c>
      <c r="B6" s="6" t="n">
        <v>80</v>
      </c>
      <c r="C6" t="inlineStr">
        <is>
          <t>из 05_Carryover StartTimer фазы 7</t>
        </is>
      </c>
    </row>
    <row r="7">
      <c r="A7" t="inlineStr">
        <is>
          <t>Phase 7 DurationSec</t>
        </is>
      </c>
      <c r="B7" s="6" t="n">
        <v>120</v>
      </c>
    </row>
    <row r="8">
      <c r="A8" t="inlineStr">
        <is>
          <t>Elapsed when LAST card offered</t>
        </is>
      </c>
      <c r="B8" s="6" t="n">
        <v>110</v>
      </c>
      <c r="C8" t="inlineStr">
        <is>
          <t>секунда фазы, когда сдана последняя карта оффера</t>
        </is>
      </c>
    </row>
    <row r="9"/>
    <row r="10">
      <c r="A10" t="inlineStr">
        <is>
          <t>OFFER (phase 7 current)</t>
        </is>
      </c>
    </row>
    <row r="11">
      <c r="A11" s="4" t="inlineStr">
        <is>
          <t>Res</t>
        </is>
      </c>
      <c r="B11" s="4" t="inlineStr">
        <is>
          <t>Count</t>
        </is>
      </c>
      <c r="C11" s="4" t="inlineStr">
        <is>
          <t>SecReward</t>
        </is>
      </c>
      <c r="D11" s="4" t="inlineStr">
        <is>
          <t>TotalGain</t>
        </is>
      </c>
    </row>
    <row r="12">
      <c r="A12" s="6" t="inlineStr">
        <is>
          <t>Blood</t>
        </is>
      </c>
      <c r="B12" s="6" t="n">
        <v>5</v>
      </c>
      <c r="C12" s="6" t="n">
        <v>22</v>
      </c>
      <c r="D12" s="7">
        <f>B12*C12</f>
        <v/>
      </c>
    </row>
    <row r="13">
      <c r="A13" s="6" t="inlineStr">
        <is>
          <t>Obsidian</t>
        </is>
      </c>
      <c r="B13" s="6" t="n">
        <v>4</v>
      </c>
      <c r="C13" s="6" t="n">
        <v>15</v>
      </c>
      <c r="D13" s="7">
        <f>B13*C13</f>
        <v/>
      </c>
    </row>
    <row r="14">
      <c r="A14" s="6" t="inlineStr">
        <is>
          <t>Corn</t>
        </is>
      </c>
      <c r="B14" s="6" t="n">
        <v>10</v>
      </c>
      <c r="C14" s="6" t="n">
        <v>3</v>
      </c>
      <c r="D14" s="7">
        <f>B14*C14</f>
        <v/>
      </c>
    </row>
    <row r="15">
      <c r="A15" t="inlineStr">
        <is>
          <t>MaxGain</t>
        </is>
      </c>
      <c r="B15" s="7">
        <f>SUM(D12:D14)</f>
        <v/>
      </c>
    </row>
    <row r="16"/>
    <row r="17">
      <c r="A17" s="9" t="inlineStr">
        <is>
          <t>MODEL A — landing after last card</t>
        </is>
      </c>
    </row>
    <row r="18">
      <c r="A18" t="inlineStr">
        <is>
          <t>Doomsday AFTER last card</t>
        </is>
      </c>
      <c r="B18" s="7">
        <f>B6+B15-B8</f>
        <v/>
      </c>
      <c r="C18" t="inlineStr">
        <is>
          <t>StartTimer + Gain − Elapsed</t>
        </is>
      </c>
    </row>
    <row r="19">
      <c r="A19" t="inlineStr">
        <is>
          <t>In window?</t>
        </is>
      </c>
      <c r="B19" s="7">
        <f>IF(AND(B18&gt;=$B$32,B18&lt;=$C$32),"YES","NO")</f>
        <v/>
      </c>
    </row>
    <row r="20"/>
    <row r="21">
      <c r="A21" s="9" t="inlineStr">
        <is>
          <t>MODEL B — какой StartTimer нужен</t>
        </is>
      </c>
    </row>
    <row r="22">
      <c r="A22" t="inlineStr">
        <is>
          <t>Target remaining</t>
        </is>
      </c>
      <c r="B22" s="6" t="n">
        <v>10</v>
      </c>
    </row>
    <row r="23">
      <c r="A23" t="inlineStr">
        <is>
          <t>Required StartTimer</t>
        </is>
      </c>
      <c r="B23" s="7">
        <f>B22-B15+B8</f>
        <v/>
      </c>
      <c r="C23" t="inlineStr">
        <is>
          <t>Target − Gain + Elapsed. Фазы 5–6 должны привести сюда.</t>
        </is>
      </c>
    </row>
    <row r="24"/>
    <row r="25">
      <c r="A25" s="9" t="inlineStr">
        <is>
          <t>MODEL C — диагностика</t>
        </is>
      </c>
    </row>
    <row r="26">
      <c r="A26" t="inlineStr">
        <is>
          <t>Excess above max window</t>
        </is>
      </c>
      <c r="B26" s="7">
        <f>MAX(0,B18-$C$32)</f>
        <v/>
      </c>
    </row>
    <row r="27">
      <c r="A27" t="inlineStr">
        <is>
          <t>Deficit below min window</t>
        </is>
      </c>
      <c r="B27" s="7">
        <f>MAX(0,$B$32-B18)</f>
        <v/>
      </c>
    </row>
    <row r="28">
      <c r="A28" t="inlineStr">
        <is>
          <t>Excess&gt;0 → режь rewards / позже закрытие / ниже StartTimer</t>
        </is>
      </c>
    </row>
    <row r="29">
      <c r="A29" t="inlineStr">
        <is>
          <t>Deficit&gt;0 → больше reward / раньше оффер / выше StartTimer</t>
        </is>
      </c>
    </row>
    <row r="30"/>
    <row r="31"/>
    <row r="32">
      <c r="A32" t="inlineStr">
        <is>
          <t>TARGET WINDOW min</t>
        </is>
      </c>
      <c r="B32" s="6" t="n">
        <v>5</v>
      </c>
      <c r="C32" s="6" t="n">
        <v>15</v>
      </c>
      <c r="D32" t="inlineStr">
        <is>
          <t>max</t>
        </is>
      </c>
    </row>
    <row r="33"/>
    <row r="34">
      <c r="A34" t="inlineStr">
        <is>
          <t>Сценарии (покрути жёлтые)</t>
        </is>
      </c>
    </row>
    <row r="35">
      <c r="A35" s="4" t="inlineStr">
        <is>
          <t>Gain</t>
        </is>
      </c>
      <c r="B35" s="4" t="inlineStr">
        <is>
          <t>Elapsed</t>
        </is>
      </c>
      <c r="C35" s="4" t="inlineStr">
        <is>
          <t>StartT</t>
        </is>
      </c>
      <c r="D35" s="4" t="inlineStr">
        <is>
          <t>Landing</t>
        </is>
      </c>
      <c r="E35" s="4" t="inlineStr">
        <is>
          <t>OK?</t>
        </is>
      </c>
    </row>
    <row r="36">
      <c r="A36" s="6" t="n">
        <v>200</v>
      </c>
      <c r="B36" s="6" t="n">
        <v>120</v>
      </c>
      <c r="C36" s="6" t="n">
        <v>99</v>
      </c>
      <c r="D36" s="7">
        <f>C36+A36-B36</f>
        <v/>
      </c>
      <c r="E36" s="7">
        <f>IF(AND(D36&gt;=$B$32,D36&lt;=$C$32),"YES","NO")</f>
        <v/>
      </c>
      <c r="F36" t="inlineStr">
        <is>
          <t>текущий maxGain, старт 99 → слишком жирно</t>
        </is>
      </c>
    </row>
    <row r="37">
      <c r="A37" s="6" t="n">
        <v>200</v>
      </c>
      <c r="B37" s="6" t="n">
        <v>120</v>
      </c>
      <c r="C37" s="6" t="n">
        <v>30</v>
      </c>
      <c r="D37" s="7">
        <f>C37+A37-B37</f>
        <v/>
      </c>
      <c r="E37" s="7">
        <f>IF(AND(D37&gt;=$B$32,D37&lt;=$C$32),"YES","NO")</f>
        <v/>
      </c>
      <c r="F37" t="inlineStr">
        <is>
          <t>нужен низкий Start для окна</t>
        </is>
      </c>
    </row>
    <row r="38">
      <c r="A38" s="6" t="n">
        <v>200</v>
      </c>
      <c r="B38" s="6" t="n">
        <v>100</v>
      </c>
      <c r="C38" s="6" t="n">
        <v>40</v>
      </c>
      <c r="D38" s="7">
        <f>C38+A38-B38</f>
        <v/>
      </c>
      <c r="E38" s="7">
        <f>IF(AND(D38&gt;=$B$32,D38&lt;=$C$32),"YES","NO")</f>
        <v/>
      </c>
      <c r="F38" t="inlineStr">
        <is>
          <t>закрыл раньше</t>
        </is>
      </c>
    </row>
    <row r="39">
      <c r="A39" s="6" t="n">
        <v>70</v>
      </c>
      <c r="B39" s="6" t="n">
        <v>115</v>
      </c>
      <c r="C39" s="6" t="n">
        <v>55</v>
      </c>
      <c r="D39" s="7">
        <f>C39+A39-B39</f>
        <v/>
      </c>
      <c r="E39" s="7">
        <f>IF(AND(D39&gt;=$B$32,D39&lt;=$C$32),"YES","NO")</f>
        <v/>
      </c>
      <c r="F39" t="inlineStr">
        <is>
          <t>урезанный reward — реалистичный коридор</t>
        </is>
      </c>
    </row>
    <row r="40">
      <c r="A40" s="6" t="n">
        <v>55</v>
      </c>
      <c r="B40" s="6" t="n">
        <v>110</v>
      </c>
      <c r="C40" s="6" t="n">
        <v>65</v>
      </c>
      <c r="D40" s="7">
        <f>C40+A40-B40</f>
        <v/>
      </c>
      <c r="E40" s="7">
        <f>IF(AND(D40&gt;=$B$32,D40&lt;=$C$32),"YES","NO")</f>
        <v/>
      </c>
      <c r="F40" t="inlineStr">
        <is>
          <t>тютелька ~10</t>
        </is>
      </c>
    </row>
    <row r="41">
      <c r="A41" s="6" t="n">
        <v>80</v>
      </c>
      <c r="B41" s="6" t="n">
        <v>118</v>
      </c>
      <c r="C41" s="6" t="n">
        <v>48</v>
      </c>
      <c r="D41" s="7">
        <f>C41+A41-B41</f>
        <v/>
      </c>
      <c r="E41" s="7">
        <f>IF(AND(D41&gt;=$B$32,D41&lt;=$C$32),"YES","NO")</f>
        <v/>
      </c>
      <c r="F41" t="inlineStr">
        <is>
          <t>ещё вариант</t>
        </is>
      </c>
    </row>
    <row r="42"/>
    <row r="43"/>
    <row r="44">
      <c r="A44" s="9" t="inlineStr">
        <is>
          <t>Вывод</t>
        </is>
      </c>
    </row>
    <row r="45">
      <c r="A45" t="inlineStr">
        <is>
          <t>Сейчас maxGain фазы 7 = 5×22 + 4×15 + 10×3 = 200. При Elapsed≈110–120 окно 5..15 НЕДОСТИЖИМО при любом разумном StartTimer.</t>
        </is>
      </c>
    </row>
    <row r="46">
      <c r="A46" t="inlineStr">
        <is>
          <t>Пример: Target=10, Elapsed=115, Gain=200 → Required Start = 10−200+115 = −75.</t>
        </is>
      </c>
    </row>
    <row r="47">
      <c r="A47" t="inlineStr">
        <is>
          <t>Практичный коридор: MaxGain фазы 7 ≈ 40..80, StartTimer с фазы 6 ≈ 50..90, Elapsed ≈ 100..120.</t>
        </is>
      </c>
    </row>
    <row r="48">
      <c r="A48" t="inlineStr">
        <is>
          <t>Души таймер на фазах 5–6 (меньше rewards / дороже крафт), режь SecReward на фазе 7.</t>
        </is>
      </c>
    </row>
  </sheetData>
  <mergeCells count="1">
    <mergeCell ref="A1:F1"/>
  </mergeCells>
  <conditionalFormatting sqref="B18">
    <cfRule type="expression" priority="1" dxfId="0">
      <formula>AND(B18&gt;=$B$32,B18&lt;=$C$32)</formula>
    </cfRule>
    <cfRule type="expression" priority="2" dxfId="1">
      <formula>OR(B18&lt;$B$32,B18&gt;$C$32)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6" customWidth="1" min="3" max="3"/>
    <col width="12" customWidth="1" min="4" max="4"/>
    <col width="31" customWidth="1" min="5" max="5"/>
  </cols>
  <sheetData>
    <row r="1">
      <c r="A1" s="1" t="inlineStr">
        <is>
          <t>VILLAGERS — дефицит + оффер найма (план)</t>
        </is>
      </c>
    </row>
    <row r="2"/>
    <row r="3">
      <c r="A3" t="inlineStr">
        <is>
          <t>Сейчас: Home пассивно штампует Villager каждые 3с (workersRequired=0).</t>
        </is>
      </c>
    </row>
    <row r="4">
      <c r="A4" t="inlineStr">
        <is>
          <t>План: каждый следующий житель = оффер с растущей ценой.</t>
        </is>
      </c>
    </row>
    <row r="5"/>
    <row r="6">
      <c r="A6" s="4" t="inlineStr">
        <is>
          <t>Villager#</t>
        </is>
      </c>
      <c r="B6" s="4" t="inlineStr">
        <is>
          <t>OfferCost (draft)</t>
        </is>
      </c>
      <c r="C6" s="4" t="inlineStr">
        <is>
          <t>TimeGate</t>
        </is>
      </c>
      <c r="D6" s="4" t="inlineStr">
        <is>
          <t>EstWallSec</t>
        </is>
      </c>
      <c r="E6" s="4" t="inlineStr">
        <is>
          <t>Notes</t>
        </is>
      </c>
    </row>
    <row r="7">
      <c r="A7" s="5" t="n">
        <v>1</v>
      </c>
      <c r="B7" s="6" t="inlineStr">
        <is>
          <t>start free</t>
        </is>
      </c>
      <c r="C7" s="5" t="inlineStr">
        <is>
          <t>—</t>
        </is>
      </c>
      <c r="D7" s="6" t="n">
        <v>0</v>
      </c>
    </row>
    <row r="8">
      <c r="A8" s="5" t="n">
        <v>2</v>
      </c>
      <c r="B8" s="6" t="inlineStr">
        <is>
          <t>2 Water</t>
        </is>
      </c>
      <c r="C8" s="5" t="inlineStr">
        <is>
          <t>2×Well</t>
        </is>
      </c>
      <c r="D8" s="6" t="n">
        <v>6</v>
      </c>
    </row>
    <row r="9">
      <c r="A9" s="5" t="n">
        <v>3</v>
      </c>
      <c r="B9" s="6" t="inlineStr">
        <is>
          <t>3 Corn + 2 Water</t>
        </is>
      </c>
      <c r="C9" s="5" t="inlineStr">
        <is>
          <t>Farm+Well</t>
        </is>
      </c>
      <c r="D9" s="6" t="n">
        <v>15</v>
      </c>
    </row>
    <row r="10">
      <c r="A10" s="5" t="n">
        <v>4</v>
      </c>
      <c r="B10" s="6" t="inlineStr">
        <is>
          <t>4 Corn + 2 Wood</t>
        </is>
      </c>
      <c r="C10" s="5" t="inlineStr">
        <is>
          <t>Farm+Lumber</t>
        </is>
      </c>
      <c r="D10" s="6" t="n">
        <v>18</v>
      </c>
    </row>
    <row r="11">
      <c r="A11" s="5" t="n">
        <v>5</v>
      </c>
      <c r="B11" s="6" t="inlineStr">
        <is>
          <t>2 Stone + 3 Wood + 2 Corn</t>
        </is>
      </c>
      <c r="C11" s="5" t="inlineStr">
        <is>
          <t>??+Lumber+Farm</t>
        </is>
      </c>
      <c r="D11" s="6" t="n">
        <v>24</v>
      </c>
    </row>
    <row r="12">
      <c r="A12" s="5" t="n">
        <v>6</v>
      </c>
      <c r="B12" s="6" t="inlineStr">
        <is>
          <t>1 Obsidian + 4 Corn</t>
        </is>
      </c>
      <c r="C12" s="5" t="inlineStr">
        <is>
          <t>Obsidian+Farm</t>
        </is>
      </c>
      <c r="D12" s="6" t="n">
        <v>21</v>
      </c>
    </row>
    <row r="13">
      <c r="A13" s="5" t="n">
        <v>7</v>
      </c>
      <c r="B13" s="6" t="inlineStr">
        <is>
          <t>2 Obsidian + 2 Blood?</t>
        </is>
      </c>
      <c r="C13" s="5" t="inlineStr">
        <is>
          <t>late game</t>
        </is>
      </c>
      <c r="D13" s="6" t="n">
        <v>30</v>
      </c>
    </row>
    <row r="14">
      <c r="A14" s="5" t="n">
        <v>8</v>
      </c>
      <c r="B14" s="6" t="inlineStr">
        <is>
          <t>3 Blood</t>
        </is>
      </c>
      <c r="C14" s="5" t="inlineStr">
        <is>
          <t>Altar sacrifice tradeoff</t>
        </is>
      </c>
      <c r="D14" s="6" t="n">
        <v>27</v>
      </c>
    </row>
    <row r="15"/>
    <row r="16"/>
    <row r="17">
      <c r="A17" s="9" t="inlineStr">
        <is>
          <t>Дефицит / перестановка</t>
        </is>
      </c>
    </row>
    <row r="18">
      <c r="A18" t="inlineStr">
        <is>
          <t>Людей меньше, чем джобов → таскать / ставить двоих на одну ветку.</t>
        </is>
      </c>
    </row>
    <row r="19"/>
    <row r="20"/>
    <row r="21"/>
    <row r="22">
      <c r="A22" s="4" t="inlineStr">
        <is>
          <t>Фаза</t>
        </is>
      </c>
      <c r="B22" s="4" t="inlineStr">
        <is>
          <t>TargetTotalVillagers</t>
        </is>
      </c>
      <c r="C22" s="4" t="inlineStr">
        <is>
          <t>ActiveJobSlots</t>
        </is>
      </c>
      <c r="D22" s="4" t="inlineStr">
        <is>
          <t>Deficit</t>
        </is>
      </c>
      <c r="E22" s="4" t="inlineStr">
        <is>
          <t>Design intent</t>
        </is>
      </c>
    </row>
    <row r="23">
      <c r="A23" t="n">
        <v>0</v>
      </c>
      <c r="B23" s="6" t="n">
        <v>1</v>
      </c>
      <c r="C23" s="6" t="n">
        <v>2</v>
      </c>
      <c r="D23" s="7">
        <f>C23-B23</f>
        <v/>
      </c>
      <c r="E23" t="inlineStr">
        <is>
          <t>tutorial — 1 человек, 2 джобы</t>
        </is>
      </c>
    </row>
    <row r="24">
      <c r="A24" t="n">
        <v>1</v>
      </c>
      <c r="B24" s="6" t="n">
        <v>2</v>
      </c>
      <c r="C24" s="6" t="n">
        <v>3</v>
      </c>
      <c r="D24" s="7">
        <f>C24-B24</f>
        <v/>
      </c>
      <c r="E24" t="inlineStr">
        <is>
          <t>появляется давление</t>
        </is>
      </c>
    </row>
    <row r="25">
      <c r="A25" t="n">
        <v>2</v>
      </c>
      <c r="B25" s="6" t="n">
        <v>2</v>
      </c>
      <c r="C25" s="6" t="n">
        <v>3</v>
      </c>
      <c r="D25" s="7">
        <f>C25-B25</f>
        <v/>
      </c>
      <c r="E25" t="inlineStr">
        <is>
          <t>выбор corn vs infra</t>
        </is>
      </c>
    </row>
    <row r="26">
      <c r="A26" t="n">
        <v>3</v>
      </c>
      <c r="B26" s="6" t="n">
        <v>3</v>
      </c>
      <c r="C26" s="6" t="n">
        <v>4</v>
      </c>
      <c r="D26" s="7">
        <f>C26-B26</f>
        <v/>
      </c>
      <c r="E26" t="inlineStr">
        <is>
          <t>Obsidian хочет 3 workers</t>
        </is>
      </c>
    </row>
    <row r="27">
      <c r="A27" t="n">
        <v>4</v>
      </c>
      <c r="B27" s="6" t="n">
        <v>3</v>
      </c>
      <c r="C27" s="6" t="n">
        <v>5</v>
      </c>
      <c r="D27" s="7">
        <f>C27-B27</f>
        <v/>
      </c>
      <c r="E27" t="inlineStr">
        <is>
          <t>mixed — не покрыть всё</t>
        </is>
      </c>
    </row>
    <row r="28">
      <c r="A28" t="n">
        <v>5</v>
      </c>
      <c r="B28" s="6" t="n">
        <v>4</v>
      </c>
      <c r="C28" s="6" t="n">
        <v>5</v>
      </c>
      <c r="D28" s="7">
        <f>C28-B28</f>
        <v/>
      </c>
      <c r="E28" t="inlineStr">
        <is>
          <t>blood = жертва жителя</t>
        </is>
      </c>
    </row>
    <row r="29">
      <c r="A29" t="n">
        <v>6</v>
      </c>
      <c r="B29" s="6" t="n">
        <v>4</v>
      </c>
      <c r="C29" s="6" t="n">
        <v>5</v>
      </c>
      <c r="D29" s="7">
        <f>C29-B29</f>
        <v/>
      </c>
      <c r="E29" t="inlineStr">
        <is>
          <t>twin demands</t>
        </is>
      </c>
    </row>
    <row r="30">
      <c r="A30" t="n">
        <v>7</v>
      </c>
      <c r="B30" s="6" t="n">
        <v>5</v>
      </c>
      <c r="C30" s="6" t="n">
        <v>6</v>
      </c>
      <c r="D30" s="7">
        <f>C30-B30</f>
        <v/>
      </c>
      <c r="E30" t="inlineStr">
        <is>
          <t>финал — жертвы vs крафт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5" customWidth="1" min="3" max="3"/>
  </cols>
  <sheetData>
    <row r="1">
      <c r="A1" s="1" t="inlineStr">
        <is>
          <t>PAIR CURVE — склейка N + N+1</t>
        </is>
      </c>
    </row>
    <row r="2"/>
    <row r="3">
      <c r="A3" t="inlineStr">
        <is>
          <t>Цель</t>
        </is>
      </c>
      <c r="B3" t="inlineStr">
        <is>
          <t>Середина пары — непонятно «побеждаю/проигрываю»; к стыку — в коридоре.</t>
        </is>
      </c>
    </row>
    <row r="4"/>
    <row r="5">
      <c r="A5" t="inlineStr">
        <is>
          <t>Pair label</t>
        </is>
      </c>
      <c r="B5" s="6" t="inlineStr">
        <is>
          <t>6+7 (prep final landing)</t>
        </is>
      </c>
    </row>
    <row r="6"/>
    <row r="7">
      <c r="A7" s="4" t="inlineStr">
        <is>
          <t>t (sec into pair)</t>
        </is>
      </c>
      <c r="B7" s="4" t="inlineStr">
        <is>
          <t>Timer</t>
        </is>
      </c>
      <c r="C7" s="4" t="inlineStr">
        <is>
          <t>Event note</t>
        </is>
      </c>
    </row>
    <row r="8">
      <c r="A8" s="6" t="n">
        <v>0</v>
      </c>
      <c r="B8" s="6" t="n">
        <v>99</v>
      </c>
      <c r="C8" t="inlineStr">
        <is>
          <t>start phase N</t>
        </is>
      </c>
    </row>
    <row r="9">
      <c r="A9" s="6" t="n">
        <v>20</v>
      </c>
      <c r="B9" s="6" t="n">
        <v>85</v>
      </c>
      <c r="C9" t="inlineStr">
        <is>
          <t>spend / build</t>
        </is>
      </c>
    </row>
    <row r="10">
      <c r="A10" s="6" t="n">
        <v>40</v>
      </c>
      <c r="B10" s="6" t="n">
        <v>70</v>
      </c>
      <c r="C10" t="inlineStr">
        <is>
          <t>dip — panic?</t>
        </is>
      </c>
    </row>
    <row r="11">
      <c r="A11" s="6" t="n">
        <v>55</v>
      </c>
      <c r="B11" s="6" t="n">
        <v>95</v>
      </c>
      <c r="C11" t="inlineStr">
        <is>
          <t>offer dump</t>
        </is>
      </c>
    </row>
    <row r="12">
      <c r="A12" s="6" t="n">
        <v>70</v>
      </c>
      <c r="B12" s="6" t="n">
        <v>88</v>
      </c>
      <c r="C12" t="inlineStr">
        <is>
          <t>phase N+1</t>
        </is>
      </c>
    </row>
    <row r="13">
      <c r="A13" s="6" t="n">
        <v>100</v>
      </c>
      <c r="B13" s="6" t="n">
        <v>60</v>
      </c>
      <c r="C13" t="inlineStr">
        <is>
          <t>dip again</t>
        </is>
      </c>
    </row>
    <row r="14">
      <c r="A14" s="6" t="n">
        <v>140</v>
      </c>
      <c r="B14" s="6" t="n">
        <v>75</v>
      </c>
      <c r="C14" t="inlineStr">
        <is>
          <t>recover</t>
        </is>
      </c>
    </row>
    <row r="15">
      <c r="A15" s="6" t="n">
        <v>160</v>
      </c>
      <c r="B15" s="6" t="n">
        <v>12</v>
      </c>
      <c r="C15" t="inlineStr">
        <is>
          <t>final pair → land 5..15</t>
        </is>
      </c>
    </row>
    <row r="16"/>
    <row r="17"/>
    <row r="18">
      <c r="A18" t="inlineStr">
        <is>
          <t>Как крутить</t>
        </is>
      </c>
    </row>
    <row r="19">
      <c r="A19" t="inlineStr">
        <is>
          <t>1) EndTimer фазы N в коридоре (напр. 60..100).</t>
        </is>
      </c>
    </row>
    <row r="20">
      <c r="A20" t="inlineStr">
        <is>
          <t>2) В N+1: ранний dip, поздний spike оффером.</t>
        </is>
      </c>
    </row>
    <row r="21">
      <c r="A21" t="inlineStr">
        <is>
          <t>3) Для пары 6+7: End фазы 6 ≈ Required StartTimer из 06_Final_Landing.</t>
        </is>
      </c>
    </row>
    <row r="22">
      <c r="A22" t="inlineStr">
        <is>
          <t>4) Пара 4→5: после ПРЕДЕЛА обязательный сброс (передышка) — иначе 6–7 не читаются как пик.</t>
        </is>
      </c>
    </row>
    <row r="23">
      <c r="A23" t="inlineStr">
        <is>
          <t>5) Modifiers можно включать только на одной фазе пары, чтобы dip/spike читался.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Порядок работ</t>
        </is>
      </c>
    </row>
    <row r="2">
      <c r="A2" s="12" t="inlineStr">
        <is>
          <t>Done</t>
        </is>
      </c>
      <c r="B2" s="12" t="inlineStr">
        <is>
          <t>Step</t>
        </is>
      </c>
    </row>
    <row r="3">
      <c r="A3" s="6" t="b">
        <v>0</v>
      </c>
      <c r="B3" t="inlineStr">
        <is>
          <t>Закрыть GAP: Stone producer + Altar unlock + (позже) phase modifiers в коде</t>
        </is>
      </c>
    </row>
    <row r="4">
      <c r="A4" s="6" t="b">
        <v>0</v>
      </c>
      <c r="B4" t="inlineStr">
        <is>
          <t>Фаза 0 ЛЕГКО: 1 villager, corn — slack ~15–25s</t>
        </is>
      </c>
    </row>
    <row r="5">
      <c r="A5" s="6" t="b">
        <v>0</v>
      </c>
      <c r="B5" t="inlineStr">
        <is>
          <t>Фаза 1 СРЕДНЕ: новый ресурс; End → Carryover</t>
        </is>
      </c>
    </row>
    <row r="6">
      <c r="A6" s="6" t="b">
        <v>0</v>
      </c>
      <c r="B6" t="inlineStr">
        <is>
          <t>Фаза 2 СЛОЖНЕЕ: corn pressure + draft −20% Corn modifier</t>
        </is>
      </c>
    </row>
    <row r="7">
      <c r="A7" s="6" t="b">
        <v>0</v>
      </c>
      <c r="B7" t="inlineStr">
        <is>
          <t>Фаза 3 СЛОЖНО: Obsidian 3 workers — дефицит людей</t>
        </is>
      </c>
    </row>
    <row r="8">
      <c r="A8" s="6" t="b">
        <v>0</v>
      </c>
      <c r="B8" t="inlineStr">
        <is>
          <t>Фаза 4 НА ПРЕДЕЛЕ: mixed; slack ~0–5; −10% All?</t>
        </is>
      </c>
    </row>
    <row r="9">
      <c r="A9" s="6" t="b">
        <v>0</v>
      </c>
      <c r="B9" t="inlineStr">
        <is>
          <t>Фаза 5 ПЕРЕДЫШКА/РАЗВИТИЕ: легче чем 4; +% Blood; освоить Altar</t>
        </is>
      </c>
    </row>
    <row r="10">
      <c r="A10" s="6" t="b">
        <v>0</v>
      </c>
      <c r="B10" t="inlineStr">
        <is>
          <t>Фаза 6 СЛОЖНО: twin; подготовить StartTimer фазы 7</t>
        </is>
      </c>
    </row>
    <row r="11">
      <c r="A11" s="6" t="b">
        <v>0</v>
      </c>
      <c r="B11" t="inlineStr">
        <is>
          <t>Фаза 7 ОЧЕНЬ СЛОЖНО: 06_Final_Landing = YES (5..15)</t>
        </is>
      </c>
    </row>
    <row r="12">
      <c r="A12" s="6" t="b">
        <v>0</v>
      </c>
      <c r="B12" t="inlineStr">
        <is>
          <t>Пары 4→5 (сброс) и 6→7 (зажим) — кривая</t>
        </is>
      </c>
    </row>
    <row r="13">
      <c r="A13" s="6" t="b">
        <v>0</v>
      </c>
      <c r="B13" t="inlineStr">
        <is>
          <t>Обновить CheatPanelConfig loadouts = Carryover Start_*</t>
        </is>
      </c>
    </row>
    <row r="14">
      <c r="A14" s="6" t="b">
        <v>0</v>
      </c>
      <c r="B14" t="inlineStr">
        <is>
          <t>Прогнать полный ран без Jump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2026-07-24T15:29:00Z</dcterms:created>
  <dcterms:modified xsi:type="dcterms:W3CDTF">2026-07-24T15:29:00Z</dcterms:modified>
</cp:coreProperties>
</file>